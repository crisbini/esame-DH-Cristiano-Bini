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vmwfil01\homedrives23$\c515963\Work\Research\2 Projects\1) Empirical\Cross Cultural\Complete cross cultural data 07 02 18 1607\Data files\Submitted data\"/>
    </mc:Choice>
  </mc:AlternateContent>
  <bookViews>
    <workbookView xWindow="26820" yWindow="525" windowWidth="27225" windowHeight="26625" tabRatio="500" activeTab="2"/>
  </bookViews>
  <sheets>
    <sheet name="Sheet1" sheetId="1" r:id="rId1"/>
    <sheet name="Sheet2" sheetId="3" r:id="rId2"/>
    <sheet name="Sheet3" sheetId="4" r:id="rId3"/>
  </sheets>
  <calcPr calcId="162913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5" i="1" l="1"/>
  <c r="C24" i="1"/>
  <c r="S3" i="3"/>
  <c r="S4" i="3"/>
  <c r="S5" i="3"/>
  <c r="S6" i="3"/>
  <c r="S7" i="3"/>
  <c r="S8" i="3"/>
  <c r="S9" i="3"/>
  <c r="S10" i="3"/>
  <c r="S11" i="3"/>
  <c r="S12" i="3"/>
  <c r="S13" i="3"/>
  <c r="S14" i="3"/>
  <c r="S2" i="3"/>
  <c r="F18" i="4"/>
  <c r="G18" i="4"/>
  <c r="D18" i="4"/>
  <c r="E18" i="4"/>
  <c r="H18" i="4"/>
  <c r="F19" i="4"/>
  <c r="G19" i="4"/>
  <c r="D19" i="4"/>
  <c r="E19" i="4"/>
  <c r="H19" i="4"/>
  <c r="F20" i="4"/>
  <c r="G20" i="4"/>
  <c r="D20" i="4"/>
  <c r="E20" i="4"/>
  <c r="H20" i="4"/>
  <c r="F21" i="4"/>
  <c r="G21" i="4"/>
  <c r="D21" i="4"/>
  <c r="E21" i="4"/>
  <c r="H21" i="4"/>
  <c r="F22" i="4"/>
  <c r="G22" i="4"/>
  <c r="D22" i="4"/>
  <c r="E22" i="4"/>
  <c r="H22" i="4"/>
  <c r="F23" i="4"/>
  <c r="G23" i="4"/>
  <c r="D23" i="4"/>
  <c r="E23" i="4"/>
  <c r="H23" i="4"/>
  <c r="F24" i="4"/>
  <c r="G24" i="4"/>
  <c r="D24" i="4"/>
  <c r="E24" i="4"/>
  <c r="H24" i="4"/>
  <c r="F25" i="4"/>
  <c r="G25" i="4"/>
  <c r="D25" i="4"/>
  <c r="E25" i="4"/>
  <c r="H25" i="4"/>
  <c r="F26" i="4"/>
  <c r="G26" i="4"/>
  <c r="D26" i="4"/>
  <c r="E26" i="4"/>
  <c r="H26" i="4"/>
  <c r="F27" i="4"/>
  <c r="G27" i="4"/>
  <c r="D27" i="4"/>
  <c r="E27" i="4"/>
  <c r="H27" i="4"/>
  <c r="F28" i="4"/>
  <c r="G28" i="4"/>
  <c r="D28" i="4"/>
  <c r="E28" i="4"/>
  <c r="H28" i="4"/>
  <c r="F29" i="4"/>
  <c r="G29" i="4"/>
  <c r="D29" i="4"/>
  <c r="E29" i="4"/>
  <c r="H29" i="4"/>
  <c r="F30" i="4"/>
  <c r="G30" i="4"/>
  <c r="D30" i="4"/>
  <c r="E30" i="4"/>
  <c r="H30" i="4"/>
  <c r="G31" i="4"/>
  <c r="J18" i="4"/>
  <c r="K18" i="4"/>
  <c r="O18" i="4"/>
  <c r="Q18" i="4"/>
  <c r="F34" i="4"/>
  <c r="G34" i="4"/>
  <c r="D34" i="4"/>
  <c r="E34" i="4"/>
  <c r="H34" i="4"/>
  <c r="F35" i="4"/>
  <c r="G35" i="4"/>
  <c r="D35" i="4"/>
  <c r="E35" i="4"/>
  <c r="H35" i="4"/>
  <c r="F36" i="4"/>
  <c r="G36" i="4"/>
  <c r="D36" i="4"/>
  <c r="E36" i="4"/>
  <c r="H36" i="4"/>
  <c r="F37" i="4"/>
  <c r="G37" i="4"/>
  <c r="D37" i="4"/>
  <c r="E37" i="4"/>
  <c r="H37" i="4"/>
  <c r="F38" i="4"/>
  <c r="G38" i="4"/>
  <c r="D38" i="4"/>
  <c r="E38" i="4"/>
  <c r="H38" i="4"/>
  <c r="F39" i="4"/>
  <c r="G39" i="4"/>
  <c r="D39" i="4"/>
  <c r="E39" i="4"/>
  <c r="H39" i="4"/>
  <c r="F40" i="4"/>
  <c r="G40" i="4"/>
  <c r="D40" i="4"/>
  <c r="E40" i="4"/>
  <c r="H40" i="4"/>
  <c r="F41" i="4"/>
  <c r="G41" i="4"/>
  <c r="D41" i="4"/>
  <c r="E41" i="4"/>
  <c r="H41" i="4"/>
  <c r="F42" i="4"/>
  <c r="G42" i="4"/>
  <c r="D42" i="4"/>
  <c r="E42" i="4"/>
  <c r="H42" i="4"/>
  <c r="F43" i="4"/>
  <c r="G43" i="4"/>
  <c r="D43" i="4"/>
  <c r="E43" i="4"/>
  <c r="H43" i="4"/>
  <c r="F44" i="4"/>
  <c r="G44" i="4"/>
  <c r="D44" i="4"/>
  <c r="E44" i="4"/>
  <c r="H44" i="4"/>
  <c r="F45" i="4"/>
  <c r="G45" i="4"/>
  <c r="D45" i="4"/>
  <c r="E45" i="4"/>
  <c r="H45" i="4"/>
  <c r="F46" i="4"/>
  <c r="G46" i="4"/>
  <c r="D46" i="4"/>
  <c r="E46" i="4"/>
  <c r="H46" i="4"/>
  <c r="G47" i="4"/>
  <c r="J34" i="4"/>
  <c r="K34" i="4"/>
  <c r="O34" i="4"/>
  <c r="Q34" i="4"/>
  <c r="F50" i="4"/>
  <c r="G50" i="4"/>
  <c r="D50" i="4"/>
  <c r="E50" i="4"/>
  <c r="H50" i="4"/>
  <c r="F51" i="4"/>
  <c r="G51" i="4"/>
  <c r="D51" i="4"/>
  <c r="E51" i="4"/>
  <c r="H51" i="4"/>
  <c r="F52" i="4"/>
  <c r="G52" i="4"/>
  <c r="D52" i="4"/>
  <c r="E52" i="4"/>
  <c r="H52" i="4"/>
  <c r="F53" i="4"/>
  <c r="G53" i="4"/>
  <c r="D53" i="4"/>
  <c r="E53" i="4"/>
  <c r="H53" i="4"/>
  <c r="F54" i="4"/>
  <c r="G54" i="4"/>
  <c r="D54" i="4"/>
  <c r="E54" i="4"/>
  <c r="H54" i="4"/>
  <c r="F55" i="4"/>
  <c r="G55" i="4"/>
  <c r="D55" i="4"/>
  <c r="E55" i="4"/>
  <c r="H55" i="4"/>
  <c r="F56" i="4"/>
  <c r="G56" i="4"/>
  <c r="D56" i="4"/>
  <c r="E56" i="4"/>
  <c r="H56" i="4"/>
  <c r="F57" i="4"/>
  <c r="G57" i="4"/>
  <c r="D57" i="4"/>
  <c r="E57" i="4"/>
  <c r="H57" i="4"/>
  <c r="F58" i="4"/>
  <c r="G58" i="4"/>
  <c r="D58" i="4"/>
  <c r="E58" i="4"/>
  <c r="H58" i="4"/>
  <c r="F59" i="4"/>
  <c r="G59" i="4"/>
  <c r="D59" i="4"/>
  <c r="E59" i="4"/>
  <c r="H59" i="4"/>
  <c r="F60" i="4"/>
  <c r="G60" i="4"/>
  <c r="D60" i="4"/>
  <c r="E60" i="4"/>
  <c r="H60" i="4"/>
  <c r="F61" i="4"/>
  <c r="G61" i="4"/>
  <c r="D61" i="4"/>
  <c r="E61" i="4"/>
  <c r="H61" i="4"/>
  <c r="F62" i="4"/>
  <c r="G62" i="4"/>
  <c r="D62" i="4"/>
  <c r="E62" i="4"/>
  <c r="H62" i="4"/>
  <c r="G63" i="4"/>
  <c r="J50" i="4"/>
  <c r="K50" i="4"/>
  <c r="O50" i="4"/>
  <c r="Q50" i="4"/>
  <c r="F66" i="4"/>
  <c r="G66" i="4"/>
  <c r="D66" i="4"/>
  <c r="E66" i="4"/>
  <c r="H66" i="4"/>
  <c r="F67" i="4"/>
  <c r="G67" i="4"/>
  <c r="D67" i="4"/>
  <c r="E67" i="4"/>
  <c r="H67" i="4"/>
  <c r="F68" i="4"/>
  <c r="G68" i="4"/>
  <c r="D68" i="4"/>
  <c r="E68" i="4"/>
  <c r="H68" i="4"/>
  <c r="F69" i="4"/>
  <c r="G69" i="4"/>
  <c r="D69" i="4"/>
  <c r="E69" i="4"/>
  <c r="H69" i="4"/>
  <c r="F70" i="4"/>
  <c r="G70" i="4"/>
  <c r="D70" i="4"/>
  <c r="E70" i="4"/>
  <c r="H70" i="4"/>
  <c r="F71" i="4"/>
  <c r="G71" i="4"/>
  <c r="D71" i="4"/>
  <c r="E71" i="4"/>
  <c r="H71" i="4"/>
  <c r="F72" i="4"/>
  <c r="G72" i="4"/>
  <c r="D72" i="4"/>
  <c r="E72" i="4"/>
  <c r="H72" i="4"/>
  <c r="F73" i="4"/>
  <c r="G73" i="4"/>
  <c r="D73" i="4"/>
  <c r="E73" i="4"/>
  <c r="H73" i="4"/>
  <c r="F74" i="4"/>
  <c r="G74" i="4"/>
  <c r="D74" i="4"/>
  <c r="E74" i="4"/>
  <c r="H74" i="4"/>
  <c r="F75" i="4"/>
  <c r="G75" i="4"/>
  <c r="D75" i="4"/>
  <c r="E75" i="4"/>
  <c r="H75" i="4"/>
  <c r="F76" i="4"/>
  <c r="G76" i="4"/>
  <c r="D76" i="4"/>
  <c r="E76" i="4"/>
  <c r="H76" i="4"/>
  <c r="F77" i="4"/>
  <c r="G77" i="4"/>
  <c r="D77" i="4"/>
  <c r="E77" i="4"/>
  <c r="H77" i="4"/>
  <c r="F78" i="4"/>
  <c r="G78" i="4"/>
  <c r="D78" i="4"/>
  <c r="E78" i="4"/>
  <c r="H78" i="4"/>
  <c r="G79" i="4"/>
  <c r="J66" i="4"/>
  <c r="K66" i="4"/>
  <c r="O66" i="4"/>
  <c r="Q66" i="4"/>
  <c r="F82" i="4"/>
  <c r="G82" i="4"/>
  <c r="D82" i="4"/>
  <c r="E82" i="4"/>
  <c r="H82" i="4"/>
  <c r="F83" i="4"/>
  <c r="G83" i="4"/>
  <c r="D83" i="4"/>
  <c r="E83" i="4"/>
  <c r="H83" i="4"/>
  <c r="F84" i="4"/>
  <c r="G84" i="4"/>
  <c r="D84" i="4"/>
  <c r="E84" i="4"/>
  <c r="H84" i="4"/>
  <c r="F85" i="4"/>
  <c r="G85" i="4"/>
  <c r="D85" i="4"/>
  <c r="E85" i="4"/>
  <c r="H85" i="4"/>
  <c r="F86" i="4"/>
  <c r="G86" i="4"/>
  <c r="D86" i="4"/>
  <c r="E86" i="4"/>
  <c r="H86" i="4"/>
  <c r="F87" i="4"/>
  <c r="G87" i="4"/>
  <c r="D87" i="4"/>
  <c r="E87" i="4"/>
  <c r="H87" i="4"/>
  <c r="F88" i="4"/>
  <c r="G88" i="4"/>
  <c r="D88" i="4"/>
  <c r="E88" i="4"/>
  <c r="H88" i="4"/>
  <c r="F89" i="4"/>
  <c r="G89" i="4"/>
  <c r="D89" i="4"/>
  <c r="E89" i="4"/>
  <c r="H89" i="4"/>
  <c r="F90" i="4"/>
  <c r="G90" i="4"/>
  <c r="D90" i="4"/>
  <c r="E90" i="4"/>
  <c r="H90" i="4"/>
  <c r="F91" i="4"/>
  <c r="G91" i="4"/>
  <c r="D91" i="4"/>
  <c r="E91" i="4"/>
  <c r="H91" i="4"/>
  <c r="F92" i="4"/>
  <c r="G92" i="4"/>
  <c r="D92" i="4"/>
  <c r="E92" i="4"/>
  <c r="H92" i="4"/>
  <c r="F93" i="4"/>
  <c r="G93" i="4"/>
  <c r="D93" i="4"/>
  <c r="E93" i="4"/>
  <c r="H93" i="4"/>
  <c r="F94" i="4"/>
  <c r="G94" i="4"/>
  <c r="D94" i="4"/>
  <c r="E94" i="4"/>
  <c r="H94" i="4"/>
  <c r="G95" i="4"/>
  <c r="J82" i="4"/>
  <c r="K82" i="4"/>
  <c r="O82" i="4"/>
  <c r="Q82" i="4"/>
  <c r="F97" i="4"/>
  <c r="G97" i="4"/>
  <c r="D97" i="4"/>
  <c r="E97" i="4"/>
  <c r="H97" i="4"/>
  <c r="F98" i="4"/>
  <c r="G98" i="4"/>
  <c r="D98" i="4"/>
  <c r="E98" i="4"/>
  <c r="H98" i="4"/>
  <c r="F99" i="4"/>
  <c r="G99" i="4"/>
  <c r="D99" i="4"/>
  <c r="E99" i="4"/>
  <c r="H99" i="4"/>
  <c r="F100" i="4"/>
  <c r="G100" i="4"/>
  <c r="D100" i="4"/>
  <c r="E100" i="4"/>
  <c r="H100" i="4"/>
  <c r="F101" i="4"/>
  <c r="G101" i="4"/>
  <c r="D101" i="4"/>
  <c r="E101" i="4"/>
  <c r="H101" i="4"/>
  <c r="F102" i="4"/>
  <c r="G102" i="4"/>
  <c r="D102" i="4"/>
  <c r="E102" i="4"/>
  <c r="H102" i="4"/>
  <c r="F103" i="4"/>
  <c r="G103" i="4"/>
  <c r="D103" i="4"/>
  <c r="E103" i="4"/>
  <c r="H103" i="4"/>
  <c r="F104" i="4"/>
  <c r="G104" i="4"/>
  <c r="D104" i="4"/>
  <c r="E104" i="4"/>
  <c r="H104" i="4"/>
  <c r="F105" i="4"/>
  <c r="G105" i="4"/>
  <c r="D105" i="4"/>
  <c r="E105" i="4"/>
  <c r="H105" i="4"/>
  <c r="F106" i="4"/>
  <c r="G106" i="4"/>
  <c r="D106" i="4"/>
  <c r="E106" i="4"/>
  <c r="H106" i="4"/>
  <c r="F107" i="4"/>
  <c r="G107" i="4"/>
  <c r="D107" i="4"/>
  <c r="E107" i="4"/>
  <c r="H107" i="4"/>
  <c r="F108" i="4"/>
  <c r="G108" i="4"/>
  <c r="D108" i="4"/>
  <c r="E108" i="4"/>
  <c r="H108" i="4"/>
  <c r="F109" i="4"/>
  <c r="G109" i="4"/>
  <c r="D109" i="4"/>
  <c r="E109" i="4"/>
  <c r="H109" i="4"/>
  <c r="G110" i="4"/>
  <c r="J97" i="4"/>
  <c r="K97" i="4"/>
  <c r="O97" i="4"/>
  <c r="Q97" i="4"/>
  <c r="F113" i="4"/>
  <c r="G113" i="4"/>
  <c r="D113" i="4"/>
  <c r="E113" i="4"/>
  <c r="H113" i="4"/>
  <c r="F114" i="4"/>
  <c r="G114" i="4"/>
  <c r="D114" i="4"/>
  <c r="E114" i="4"/>
  <c r="H114" i="4"/>
  <c r="F115" i="4"/>
  <c r="G115" i="4"/>
  <c r="D115" i="4"/>
  <c r="E115" i="4"/>
  <c r="H115" i="4"/>
  <c r="F116" i="4"/>
  <c r="G116" i="4"/>
  <c r="D116" i="4"/>
  <c r="E116" i="4"/>
  <c r="H116" i="4"/>
  <c r="F117" i="4"/>
  <c r="G117" i="4"/>
  <c r="D117" i="4"/>
  <c r="E117" i="4"/>
  <c r="H117" i="4"/>
  <c r="F118" i="4"/>
  <c r="G118" i="4"/>
  <c r="D118" i="4"/>
  <c r="E118" i="4"/>
  <c r="H118" i="4"/>
  <c r="F119" i="4"/>
  <c r="G119" i="4"/>
  <c r="D119" i="4"/>
  <c r="E119" i="4"/>
  <c r="H119" i="4"/>
  <c r="F120" i="4"/>
  <c r="G120" i="4"/>
  <c r="D120" i="4"/>
  <c r="E120" i="4"/>
  <c r="H120" i="4"/>
  <c r="F121" i="4"/>
  <c r="G121" i="4"/>
  <c r="D121" i="4"/>
  <c r="E121" i="4"/>
  <c r="H121" i="4"/>
  <c r="F122" i="4"/>
  <c r="G122" i="4"/>
  <c r="D122" i="4"/>
  <c r="E122" i="4"/>
  <c r="H122" i="4"/>
  <c r="F123" i="4"/>
  <c r="G123" i="4"/>
  <c r="D123" i="4"/>
  <c r="E123" i="4"/>
  <c r="H123" i="4"/>
  <c r="F124" i="4"/>
  <c r="G124" i="4"/>
  <c r="D124" i="4"/>
  <c r="E124" i="4"/>
  <c r="H124" i="4"/>
  <c r="F125" i="4"/>
  <c r="G125" i="4"/>
  <c r="D125" i="4"/>
  <c r="E125" i="4"/>
  <c r="H125" i="4"/>
  <c r="G126" i="4"/>
  <c r="J113" i="4"/>
  <c r="K113" i="4"/>
  <c r="O113" i="4"/>
  <c r="Q113" i="4"/>
  <c r="N18" i="4"/>
  <c r="P18" i="4"/>
  <c r="N34" i="4"/>
  <c r="P34" i="4"/>
  <c r="N50" i="4"/>
  <c r="P50" i="4"/>
  <c r="N66" i="4"/>
  <c r="P66" i="4"/>
  <c r="N82" i="4"/>
  <c r="P82" i="4"/>
  <c r="N97" i="4"/>
  <c r="P97" i="4"/>
  <c r="N113" i="4"/>
  <c r="P113" i="4"/>
  <c r="F2" i="4"/>
  <c r="G2" i="4"/>
  <c r="D2" i="4"/>
  <c r="E2" i="4"/>
  <c r="H2" i="4"/>
  <c r="F3" i="4"/>
  <c r="G3" i="4"/>
  <c r="D3" i="4"/>
  <c r="E3" i="4"/>
  <c r="H3" i="4"/>
  <c r="F4" i="4"/>
  <c r="G4" i="4"/>
  <c r="D4" i="4"/>
  <c r="E4" i="4"/>
  <c r="H4" i="4"/>
  <c r="F5" i="4"/>
  <c r="G5" i="4"/>
  <c r="D5" i="4"/>
  <c r="E5" i="4"/>
  <c r="H5" i="4"/>
  <c r="F6" i="4"/>
  <c r="G6" i="4"/>
  <c r="D6" i="4"/>
  <c r="E6" i="4"/>
  <c r="H6" i="4"/>
  <c r="F7" i="4"/>
  <c r="G7" i="4"/>
  <c r="D7" i="4"/>
  <c r="E7" i="4"/>
  <c r="H7" i="4"/>
  <c r="F8" i="4"/>
  <c r="G8" i="4"/>
  <c r="D8" i="4"/>
  <c r="E8" i="4"/>
  <c r="H8" i="4"/>
  <c r="F9" i="4"/>
  <c r="G9" i="4"/>
  <c r="D9" i="4"/>
  <c r="E9" i="4"/>
  <c r="H9" i="4"/>
  <c r="F10" i="4"/>
  <c r="G10" i="4"/>
  <c r="D10" i="4"/>
  <c r="E10" i="4"/>
  <c r="H10" i="4"/>
  <c r="F11" i="4"/>
  <c r="G11" i="4"/>
  <c r="D11" i="4"/>
  <c r="E11" i="4"/>
  <c r="H11" i="4"/>
  <c r="F12" i="4"/>
  <c r="G12" i="4"/>
  <c r="D12" i="4"/>
  <c r="E12" i="4"/>
  <c r="H12" i="4"/>
  <c r="F13" i="4"/>
  <c r="G13" i="4"/>
  <c r="D13" i="4"/>
  <c r="E13" i="4"/>
  <c r="H13" i="4"/>
  <c r="F14" i="4"/>
  <c r="G14" i="4"/>
  <c r="D14" i="4"/>
  <c r="E14" i="4"/>
  <c r="H14" i="4"/>
  <c r="G15" i="4"/>
  <c r="J2" i="4"/>
  <c r="K2" i="4"/>
  <c r="O2" i="4"/>
  <c r="Q2" i="4"/>
  <c r="N2" i="4"/>
  <c r="P2" i="4"/>
  <c r="M18" i="4"/>
  <c r="M34" i="4"/>
  <c r="M50" i="4"/>
  <c r="M66" i="4"/>
  <c r="M82" i="4"/>
  <c r="M97" i="4"/>
  <c r="M113" i="4"/>
  <c r="M2" i="4"/>
  <c r="L18" i="4"/>
  <c r="L34" i="4"/>
  <c r="L50" i="4"/>
  <c r="L66" i="4"/>
  <c r="L82" i="4"/>
  <c r="L97" i="4"/>
  <c r="L113" i="4"/>
  <c r="L2" i="4"/>
  <c r="Q20" i="3"/>
  <c r="Q21" i="3"/>
  <c r="Q22" i="3"/>
  <c r="Q23" i="3"/>
  <c r="Q24" i="3"/>
  <c r="Q25" i="3"/>
  <c r="Q26" i="3"/>
  <c r="Q27" i="3"/>
  <c r="Q28" i="3"/>
  <c r="Q29" i="3"/>
  <c r="Q30" i="3"/>
  <c r="Q31" i="3"/>
  <c r="Q19" i="3"/>
  <c r="O20" i="3"/>
  <c r="O21" i="3"/>
  <c r="O22" i="3"/>
  <c r="O23" i="3"/>
  <c r="O24" i="3"/>
  <c r="O25" i="3"/>
  <c r="O26" i="3"/>
  <c r="O27" i="3"/>
  <c r="O28" i="3"/>
  <c r="O29" i="3"/>
  <c r="O30" i="3"/>
  <c r="O31" i="3"/>
  <c r="O19" i="3"/>
  <c r="M20" i="3"/>
  <c r="M21" i="3"/>
  <c r="M22" i="3"/>
  <c r="M23" i="3"/>
  <c r="M24" i="3"/>
  <c r="M25" i="3"/>
  <c r="M26" i="3"/>
  <c r="M27" i="3"/>
  <c r="M28" i="3"/>
  <c r="M29" i="3"/>
  <c r="M30" i="3"/>
  <c r="M31" i="3"/>
  <c r="M19" i="3"/>
  <c r="K20" i="3"/>
  <c r="K21" i="3"/>
  <c r="K22" i="3"/>
  <c r="K23" i="3"/>
  <c r="K24" i="3"/>
  <c r="K25" i="3"/>
  <c r="K26" i="3"/>
  <c r="K27" i="3"/>
  <c r="K28" i="3"/>
  <c r="K29" i="3"/>
  <c r="K30" i="3"/>
  <c r="K31" i="3"/>
  <c r="K19" i="3"/>
  <c r="I20" i="3"/>
  <c r="I21" i="3"/>
  <c r="I22" i="3"/>
  <c r="I23" i="3"/>
  <c r="I24" i="3"/>
  <c r="I25" i="3"/>
  <c r="I26" i="3"/>
  <c r="I27" i="3"/>
  <c r="I28" i="3"/>
  <c r="I29" i="3"/>
  <c r="I30" i="3"/>
  <c r="I31" i="3"/>
  <c r="I19" i="3"/>
  <c r="G20" i="3"/>
  <c r="G21" i="3"/>
  <c r="G22" i="3"/>
  <c r="G23" i="3"/>
  <c r="G24" i="3"/>
  <c r="G25" i="3"/>
  <c r="G26" i="3"/>
  <c r="G27" i="3"/>
  <c r="G28" i="3"/>
  <c r="G29" i="3"/>
  <c r="G30" i="3"/>
  <c r="G31" i="3"/>
  <c r="G19" i="3"/>
  <c r="E20" i="3"/>
  <c r="E21" i="3"/>
  <c r="E22" i="3"/>
  <c r="E23" i="3"/>
  <c r="E24" i="3"/>
  <c r="E25" i="3"/>
  <c r="E26" i="3"/>
  <c r="E27" i="3"/>
  <c r="E28" i="3"/>
  <c r="E29" i="3"/>
  <c r="E30" i="3"/>
  <c r="E31" i="3"/>
  <c r="E19" i="3"/>
  <c r="C20" i="3"/>
  <c r="C21" i="3"/>
  <c r="C22" i="3"/>
  <c r="C23" i="3"/>
  <c r="C24" i="3"/>
  <c r="C25" i="3"/>
  <c r="C26" i="3"/>
  <c r="C27" i="3"/>
  <c r="C28" i="3"/>
  <c r="C29" i="3"/>
  <c r="C30" i="3"/>
  <c r="C31" i="3"/>
  <c r="C19" i="3"/>
  <c r="P20" i="3"/>
  <c r="P21" i="3"/>
  <c r="P22" i="3"/>
  <c r="P23" i="3"/>
  <c r="P24" i="3"/>
  <c r="P25" i="3"/>
  <c r="P26" i="3"/>
  <c r="P27" i="3"/>
  <c r="P28" i="3"/>
  <c r="P29" i="3"/>
  <c r="P30" i="3"/>
  <c r="P31" i="3"/>
  <c r="P15" i="3"/>
  <c r="P32" i="3"/>
  <c r="N20" i="3"/>
  <c r="N21" i="3"/>
  <c r="N22" i="3"/>
  <c r="N23" i="3"/>
  <c r="N24" i="3"/>
  <c r="N25" i="3"/>
  <c r="N26" i="3"/>
  <c r="N27" i="3"/>
  <c r="N28" i="3"/>
  <c r="N29" i="3"/>
  <c r="N30" i="3"/>
  <c r="N31" i="3"/>
  <c r="N15" i="3"/>
  <c r="N32" i="3"/>
  <c r="L20" i="3"/>
  <c r="L21" i="3"/>
  <c r="L22" i="3"/>
  <c r="L23" i="3"/>
  <c r="L24" i="3"/>
  <c r="L25" i="3"/>
  <c r="L26" i="3"/>
  <c r="L27" i="3"/>
  <c r="L28" i="3"/>
  <c r="L29" i="3"/>
  <c r="L30" i="3"/>
  <c r="L31" i="3"/>
  <c r="L15" i="3"/>
  <c r="L32" i="3"/>
  <c r="J20" i="3"/>
  <c r="J21" i="3"/>
  <c r="J22" i="3"/>
  <c r="J23" i="3"/>
  <c r="J24" i="3"/>
  <c r="J25" i="3"/>
  <c r="J26" i="3"/>
  <c r="J27" i="3"/>
  <c r="J28" i="3"/>
  <c r="J29" i="3"/>
  <c r="J30" i="3"/>
  <c r="J31" i="3"/>
  <c r="J15" i="3"/>
  <c r="J32" i="3"/>
  <c r="H20" i="3"/>
  <c r="H21" i="3"/>
  <c r="H22" i="3"/>
  <c r="H23" i="3"/>
  <c r="H24" i="3"/>
  <c r="H25" i="3"/>
  <c r="H26" i="3"/>
  <c r="H27" i="3"/>
  <c r="H28" i="3"/>
  <c r="H29" i="3"/>
  <c r="H30" i="3"/>
  <c r="H31" i="3"/>
  <c r="H15" i="3"/>
  <c r="H32" i="3"/>
  <c r="F20" i="3"/>
  <c r="F21" i="3"/>
  <c r="F22" i="3"/>
  <c r="F23" i="3"/>
  <c r="F24" i="3"/>
  <c r="F25" i="3"/>
  <c r="F26" i="3"/>
  <c r="F27" i="3"/>
  <c r="F28" i="3"/>
  <c r="F29" i="3"/>
  <c r="F30" i="3"/>
  <c r="F31" i="3"/>
  <c r="F15" i="3"/>
  <c r="F32" i="3"/>
  <c r="D20" i="3"/>
  <c r="D21" i="3"/>
  <c r="D22" i="3"/>
  <c r="D23" i="3"/>
  <c r="D24" i="3"/>
  <c r="D25" i="3"/>
  <c r="D26" i="3"/>
  <c r="D27" i="3"/>
  <c r="D28" i="3"/>
  <c r="D29" i="3"/>
  <c r="D30" i="3"/>
  <c r="D31" i="3"/>
  <c r="D15" i="3"/>
  <c r="D32" i="3"/>
  <c r="P19" i="3"/>
  <c r="D19" i="3"/>
  <c r="F19" i="3"/>
  <c r="H19" i="3"/>
  <c r="J19" i="3"/>
  <c r="L19" i="3"/>
  <c r="N19" i="3"/>
  <c r="B20" i="3"/>
  <c r="B21" i="3"/>
  <c r="B22" i="3"/>
  <c r="B23" i="3"/>
  <c r="B24" i="3"/>
  <c r="B25" i="3"/>
  <c r="B26" i="3"/>
  <c r="B27" i="3"/>
  <c r="B28" i="3"/>
  <c r="B29" i="3"/>
  <c r="B30" i="3"/>
  <c r="B31" i="3"/>
  <c r="B15" i="3"/>
  <c r="B32" i="3"/>
  <c r="B19" i="3"/>
  <c r="C17" i="1"/>
  <c r="C18" i="1"/>
  <c r="Y3" i="1"/>
  <c r="Y4" i="1"/>
  <c r="Y5" i="1"/>
  <c r="Y6" i="1"/>
  <c r="Y7" i="1"/>
  <c r="Y8" i="1"/>
  <c r="Y9" i="1"/>
  <c r="Y10" i="1"/>
  <c r="Y11" i="1"/>
  <c r="Y12" i="1"/>
  <c r="Y13" i="1"/>
  <c r="Y14" i="1"/>
  <c r="Y2" i="1"/>
  <c r="V3" i="1"/>
  <c r="V4" i="1"/>
  <c r="V5" i="1"/>
  <c r="V6" i="1"/>
  <c r="V7" i="1"/>
  <c r="V8" i="1"/>
  <c r="V9" i="1"/>
  <c r="V10" i="1"/>
  <c r="V11" i="1"/>
  <c r="V12" i="1"/>
  <c r="V13" i="1"/>
  <c r="V14" i="1"/>
  <c r="V2" i="1"/>
  <c r="S3" i="1"/>
  <c r="S4" i="1"/>
  <c r="S5" i="1"/>
  <c r="S6" i="1"/>
  <c r="S7" i="1"/>
  <c r="S8" i="1"/>
  <c r="S9" i="1"/>
  <c r="S10" i="1"/>
  <c r="S11" i="1"/>
  <c r="S12" i="1"/>
  <c r="S13" i="1"/>
  <c r="S14" i="1"/>
  <c r="S2" i="1"/>
  <c r="P3" i="1"/>
  <c r="P4" i="1"/>
  <c r="P5" i="1"/>
  <c r="P6" i="1"/>
  <c r="P7" i="1"/>
  <c r="P8" i="1"/>
  <c r="P9" i="1"/>
  <c r="P10" i="1"/>
  <c r="P11" i="1"/>
  <c r="P12" i="1"/>
  <c r="P13" i="1"/>
  <c r="P14" i="1"/>
  <c r="P2" i="1"/>
  <c r="M3" i="1"/>
  <c r="M4" i="1"/>
  <c r="M5" i="1"/>
  <c r="M6" i="1"/>
  <c r="M7" i="1"/>
  <c r="M8" i="1"/>
  <c r="M9" i="1"/>
  <c r="M10" i="1"/>
  <c r="M11" i="1"/>
  <c r="M12" i="1"/>
  <c r="M13" i="1"/>
  <c r="M14" i="1"/>
  <c r="M2" i="1"/>
  <c r="J3" i="1"/>
  <c r="J4" i="1"/>
  <c r="J5" i="1"/>
  <c r="J6" i="1"/>
  <c r="J7" i="1"/>
  <c r="J8" i="1"/>
  <c r="J9" i="1"/>
  <c r="J10" i="1"/>
  <c r="J11" i="1"/>
  <c r="J12" i="1"/>
  <c r="J13" i="1"/>
  <c r="J14" i="1"/>
  <c r="J2" i="1"/>
  <c r="G3" i="1"/>
  <c r="G4" i="1"/>
  <c r="G5" i="1"/>
  <c r="G6" i="1"/>
  <c r="G7" i="1"/>
  <c r="G8" i="1"/>
  <c r="G9" i="1"/>
  <c r="G10" i="1"/>
  <c r="G11" i="1"/>
  <c r="G12" i="1"/>
  <c r="G13" i="1"/>
  <c r="G14" i="1"/>
  <c r="G2" i="1"/>
  <c r="D3" i="1"/>
  <c r="D4" i="1"/>
  <c r="D5" i="1"/>
  <c r="D6" i="1"/>
  <c r="D7" i="1"/>
  <c r="D8" i="1"/>
  <c r="D9" i="1"/>
  <c r="D10" i="1"/>
  <c r="D11" i="1"/>
  <c r="D12" i="1"/>
  <c r="D13" i="1"/>
  <c r="D14" i="1"/>
  <c r="D2" i="1"/>
</calcChain>
</file>

<file path=xl/sharedStrings.xml><?xml version="1.0" encoding="utf-8"?>
<sst xmlns="http://schemas.openxmlformats.org/spreadsheetml/2006/main" count="252" uniqueCount="61">
  <si>
    <t>Australia</t>
  </si>
  <si>
    <t>Country</t>
  </si>
  <si>
    <t>Brazil</t>
  </si>
  <si>
    <t>Chile</t>
  </si>
  <si>
    <t>Colombia</t>
  </si>
  <si>
    <t>CZ</t>
  </si>
  <si>
    <t>France</t>
  </si>
  <si>
    <t>Germany</t>
  </si>
  <si>
    <t>India</t>
  </si>
  <si>
    <t>Italy</t>
  </si>
  <si>
    <t>Nigeria</t>
  </si>
  <si>
    <t>Poland</t>
  </si>
  <si>
    <t>UK</t>
  </si>
  <si>
    <t>US</t>
  </si>
  <si>
    <t>Initial_MF</t>
  </si>
  <si>
    <t>Initial_SD</t>
  </si>
  <si>
    <t>Initial_d</t>
  </si>
  <si>
    <t>Est_MF</t>
  </si>
  <si>
    <t>Est_SD</t>
  </si>
  <si>
    <t>Est_d</t>
  </si>
  <si>
    <t>K_Freq_MF</t>
  </si>
  <si>
    <t>KFreq_SD</t>
  </si>
  <si>
    <t>KFreq_d</t>
  </si>
  <si>
    <t>HugFreq_MF</t>
  </si>
  <si>
    <t>HugFreq_SD</t>
  </si>
  <si>
    <t>HugFreq_d</t>
  </si>
  <si>
    <t>SexFreq_MF</t>
  </si>
  <si>
    <t>SexFreq_SD</t>
  </si>
  <si>
    <t>SexFreq_d</t>
  </si>
  <si>
    <t>KSatis_MF</t>
  </si>
  <si>
    <t>KSatis_SD</t>
  </si>
  <si>
    <t>KSatis_d</t>
  </si>
  <si>
    <t>HSatis_MF</t>
  </si>
  <si>
    <t>HSatis_SD</t>
  </si>
  <si>
    <t>HSatis_d</t>
  </si>
  <si>
    <t>SSatis_MF</t>
  </si>
  <si>
    <t>SSATIS_SD</t>
  </si>
  <si>
    <t>ssATIS_d</t>
  </si>
  <si>
    <t>Total</t>
  </si>
  <si>
    <t>Initial_r</t>
  </si>
  <si>
    <t>Est_r</t>
  </si>
  <si>
    <t>KFreq_r</t>
  </si>
  <si>
    <t>HugFreq_r</t>
  </si>
  <si>
    <t>SexFreq_r</t>
  </si>
  <si>
    <t>KSatis_r</t>
  </si>
  <si>
    <t>HSatis_r</t>
  </si>
  <si>
    <t>ssATIS_r</t>
  </si>
  <si>
    <t>n</t>
  </si>
  <si>
    <t>Esz</t>
  </si>
  <si>
    <t>SEESz</t>
  </si>
  <si>
    <t>wi</t>
  </si>
  <si>
    <t>Mean ESZ</t>
  </si>
  <si>
    <t>Mean SE ESZ</t>
  </si>
  <si>
    <t>wiESz</t>
  </si>
  <si>
    <t>Mean r</t>
  </si>
  <si>
    <t>Mean SE</t>
  </si>
  <si>
    <t>M r (lower)</t>
  </si>
  <si>
    <t>M r (upper)</t>
  </si>
  <si>
    <t>[note .10, .30, .50, s/m/l]</t>
  </si>
  <si>
    <t>L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</si>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</sst>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Calibri"/>
      <family val="2"/>
      <scheme val="minor"/>
    </font>
    <font>
      <b/>
      <sz val="12"/>
      <color rgb="FFFF0000"/>
      <name val="Calibri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2" fontId="1" fillId="0" borderId="0" xfId="0" applyNumberFormat="1" applyFont="1"/>
    <xf numFmtId="2" fontId="0" fillId="2" borderId="0" xfId="0" applyNumberFormat="1" applyFill="1"/>
    <xf numFmtId="2" fontId="2" fillId="0" borderId="0" xfId="0" applyNumberFormat="1" applyFont="1"/>
    <xf numFmtId="1" fontId="0" fillId="0" borderId="0" xfId="0" applyNumberFormat="1"/>
    <xf numFmtId="1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"/>
  <sheetViews>
    <sheetView topLeftCell="S1" zoomScale="200" zoomScaleNormal="200" zoomScalePageLayoutView="200" workbookViewId="0">
      <selection activeCell="Z10" sqref="Z10"/>
    </sheetView>
  </sheetViews>
  <sheetFormatPr defaultColWidth="11" defaultRowHeight="15.75" x14ac:dyDescent="0.25"/>
  <sheetData>
    <row r="1" spans="1:25" x14ac:dyDescent="0.25">
      <c r="A1" t="s">
        <v>1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</row>
    <row r="2" spans="1:25" x14ac:dyDescent="0.25">
      <c r="A2" t="s">
        <v>0</v>
      </c>
      <c r="B2" s="1">
        <v>23.7</v>
      </c>
      <c r="C2" s="1">
        <v>23.9</v>
      </c>
      <c r="D2" s="1">
        <f>B2/C2</f>
        <v>0.99163179916317989</v>
      </c>
      <c r="E2" s="1">
        <v>32.33</v>
      </c>
      <c r="F2" s="1">
        <v>18.86</v>
      </c>
      <c r="G2" s="1">
        <f>E2/F2</f>
        <v>1.7142099681866383</v>
      </c>
      <c r="H2" s="1">
        <v>25.88</v>
      </c>
      <c r="I2" s="1">
        <v>21.88</v>
      </c>
      <c r="J2" s="1">
        <f>H2/I2</f>
        <v>1.1828153564899451</v>
      </c>
      <c r="K2" s="1">
        <v>28.42</v>
      </c>
      <c r="L2" s="1">
        <v>23.74</v>
      </c>
      <c r="M2" s="1">
        <f>K2/L2</f>
        <v>1.1971356360572873</v>
      </c>
      <c r="N2" s="4">
        <v>7.61</v>
      </c>
      <c r="O2" s="1">
        <v>26.16</v>
      </c>
      <c r="P2" s="1">
        <f>N2/O2</f>
        <v>0.29090214067278286</v>
      </c>
      <c r="Q2" s="1">
        <v>24.9</v>
      </c>
      <c r="R2" s="1">
        <v>24.06</v>
      </c>
      <c r="S2" s="1">
        <f>Q2/R2</f>
        <v>1.0349127182044888</v>
      </c>
      <c r="T2" s="1">
        <v>31.78</v>
      </c>
      <c r="U2" s="1">
        <v>21.36</v>
      </c>
      <c r="V2" s="1">
        <f>T2/U2</f>
        <v>1.4878277153558053</v>
      </c>
      <c r="W2" s="1">
        <v>12.64</v>
      </c>
      <c r="X2" s="1">
        <v>28.45</v>
      </c>
      <c r="Y2" s="1">
        <f>W2/X2</f>
        <v>0.44428822495606329</v>
      </c>
    </row>
    <row r="3" spans="1:25" x14ac:dyDescent="0.25">
      <c r="A3" t="s">
        <v>2</v>
      </c>
      <c r="B3" s="1">
        <v>33.369999999999997</v>
      </c>
      <c r="C3" s="1">
        <v>25.62</v>
      </c>
      <c r="D3" s="1">
        <f t="shared" ref="D3:D14" si="0">B3/C3</f>
        <v>1.3024980483996875</v>
      </c>
      <c r="E3" s="1">
        <v>36.130000000000003</v>
      </c>
      <c r="F3" s="1">
        <v>19.850000000000001</v>
      </c>
      <c r="G3" s="1">
        <f t="shared" ref="G3:G14" si="1">E3/F3</f>
        <v>1.8201511335012595</v>
      </c>
      <c r="H3" s="1">
        <v>30.29</v>
      </c>
      <c r="I3" s="1">
        <v>21.27</v>
      </c>
      <c r="J3" s="1">
        <f t="shared" ref="J3:J14" si="2">H3/I3</f>
        <v>1.4240714621532675</v>
      </c>
      <c r="K3" s="1">
        <v>27.68</v>
      </c>
      <c r="L3" s="1">
        <v>25.6</v>
      </c>
      <c r="M3" s="1">
        <f t="shared" ref="M3:M14" si="3">K3/L3</f>
        <v>1.0812499999999998</v>
      </c>
      <c r="N3" s="1">
        <v>16.61</v>
      </c>
      <c r="O3" s="1">
        <v>26.92</v>
      </c>
      <c r="P3" s="1">
        <f t="shared" ref="P3:P14" si="4">N3/O3</f>
        <v>0.61701337295690928</v>
      </c>
      <c r="Q3" s="1">
        <v>29.23</v>
      </c>
      <c r="R3" s="1">
        <v>21.27</v>
      </c>
      <c r="S3" s="1">
        <f t="shared" ref="S3:S14" si="5">Q3/R3</f>
        <v>1.3742360131640809</v>
      </c>
      <c r="T3" s="1">
        <v>34.49</v>
      </c>
      <c r="U3" s="1">
        <v>20.36</v>
      </c>
      <c r="V3" s="1">
        <f t="shared" ref="V3:V14" si="6">T3/U3</f>
        <v>1.6940078585461691</v>
      </c>
      <c r="W3" s="1">
        <v>19.41</v>
      </c>
      <c r="X3" s="1">
        <v>27.14</v>
      </c>
      <c r="Y3" s="1">
        <f t="shared" ref="Y3:Y14" si="7">W3/X3</f>
        <v>0.71518054532056008</v>
      </c>
    </row>
    <row r="4" spans="1:25" x14ac:dyDescent="0.25">
      <c r="A4" t="s">
        <v>3</v>
      </c>
      <c r="B4" s="1">
        <v>33.049999999999997</v>
      </c>
      <c r="C4" s="1">
        <v>24.47</v>
      </c>
      <c r="D4" s="1">
        <f t="shared" si="0"/>
        <v>1.3506334286881896</v>
      </c>
      <c r="E4" s="1">
        <v>35.01</v>
      </c>
      <c r="F4" s="1">
        <v>18.579999999999998</v>
      </c>
      <c r="G4" s="1">
        <f t="shared" si="1"/>
        <v>1.8842841765339076</v>
      </c>
      <c r="H4" s="1">
        <v>31.19</v>
      </c>
      <c r="I4" s="1">
        <v>18.43</v>
      </c>
      <c r="J4" s="1">
        <f t="shared" si="2"/>
        <v>1.6923494302767228</v>
      </c>
      <c r="K4" s="1">
        <v>36.21</v>
      </c>
      <c r="L4" s="1">
        <v>18.78</v>
      </c>
      <c r="M4" s="1">
        <f t="shared" si="3"/>
        <v>1.9281150159744409</v>
      </c>
      <c r="N4" s="1">
        <v>15.9</v>
      </c>
      <c r="O4" s="1">
        <v>24.73</v>
      </c>
      <c r="P4" s="1">
        <f t="shared" si="4"/>
        <v>0.64294379296401127</v>
      </c>
      <c r="Q4" s="1">
        <v>31.4</v>
      </c>
      <c r="R4" s="1">
        <v>21.7</v>
      </c>
      <c r="S4" s="1">
        <f t="shared" si="5"/>
        <v>1.4470046082949308</v>
      </c>
      <c r="T4" s="1">
        <v>30.23</v>
      </c>
      <c r="U4" s="1">
        <v>22.06</v>
      </c>
      <c r="V4" s="1">
        <f t="shared" si="6"/>
        <v>1.3703535811423391</v>
      </c>
      <c r="W4" s="1">
        <v>24.03</v>
      </c>
      <c r="X4" s="1">
        <v>26.31</v>
      </c>
      <c r="Y4" s="1">
        <f t="shared" si="7"/>
        <v>0.91334093500570135</v>
      </c>
    </row>
    <row r="5" spans="1:25" x14ac:dyDescent="0.25">
      <c r="A5" t="s">
        <v>4</v>
      </c>
      <c r="B5" s="1">
        <v>28.41</v>
      </c>
      <c r="C5" s="1">
        <v>22.95</v>
      </c>
      <c r="D5" s="1">
        <f t="shared" si="0"/>
        <v>1.2379084967320262</v>
      </c>
      <c r="E5" s="1">
        <v>33.53</v>
      </c>
      <c r="F5" s="1">
        <v>19.96</v>
      </c>
      <c r="G5" s="1">
        <f t="shared" si="1"/>
        <v>1.6798597194388778</v>
      </c>
      <c r="H5" s="1">
        <v>29.27</v>
      </c>
      <c r="I5" s="1">
        <v>17.43</v>
      </c>
      <c r="J5" s="1">
        <f t="shared" si="2"/>
        <v>1.6792885829030408</v>
      </c>
      <c r="K5" s="1">
        <v>32.42</v>
      </c>
      <c r="L5" s="1">
        <v>18.87</v>
      </c>
      <c r="M5" s="1">
        <f t="shared" si="3"/>
        <v>1.7180710121886593</v>
      </c>
      <c r="N5" s="1">
        <v>18.809999999999999</v>
      </c>
      <c r="O5" s="1">
        <v>23.19</v>
      </c>
      <c r="P5" s="1">
        <f t="shared" si="4"/>
        <v>0.81112548512289773</v>
      </c>
      <c r="Q5" s="1">
        <v>31.48</v>
      </c>
      <c r="R5" s="1">
        <v>19.010000000000002</v>
      </c>
      <c r="S5" s="1">
        <f t="shared" si="5"/>
        <v>1.6559705418200945</v>
      </c>
      <c r="T5" s="1">
        <v>30.74</v>
      </c>
      <c r="U5" s="1">
        <v>19.399999999999999</v>
      </c>
      <c r="V5" s="1">
        <f t="shared" si="6"/>
        <v>1.5845360824742269</v>
      </c>
      <c r="W5" s="1">
        <v>26.42</v>
      </c>
      <c r="X5" s="1">
        <v>23.71</v>
      </c>
      <c r="Y5" s="1">
        <f t="shared" si="7"/>
        <v>1.1142977646562633</v>
      </c>
    </row>
    <row r="6" spans="1:25" x14ac:dyDescent="0.25">
      <c r="A6" t="s">
        <v>5</v>
      </c>
      <c r="B6" s="1">
        <v>31.85</v>
      </c>
      <c r="C6" s="1">
        <v>24.79</v>
      </c>
      <c r="D6" s="1">
        <f t="shared" si="0"/>
        <v>1.2847922549415087</v>
      </c>
      <c r="E6" s="1">
        <v>27.9</v>
      </c>
      <c r="F6" s="1">
        <v>19.28</v>
      </c>
      <c r="G6" s="1">
        <f t="shared" si="1"/>
        <v>1.447095435684647</v>
      </c>
      <c r="H6" s="1">
        <v>24.82</v>
      </c>
      <c r="I6" s="1">
        <v>19.64</v>
      </c>
      <c r="J6" s="1">
        <f t="shared" si="2"/>
        <v>1.2637474541751528</v>
      </c>
      <c r="K6" s="1">
        <v>30.51</v>
      </c>
      <c r="L6" s="1">
        <v>21.44</v>
      </c>
      <c r="M6" s="1">
        <f t="shared" si="3"/>
        <v>1.4230410447761195</v>
      </c>
      <c r="N6" s="1">
        <v>10.94</v>
      </c>
      <c r="O6" s="1">
        <v>19.62</v>
      </c>
      <c r="P6" s="1">
        <f t="shared" si="4"/>
        <v>0.55759429153924567</v>
      </c>
      <c r="Q6" s="1">
        <v>26.1</v>
      </c>
      <c r="R6" s="1">
        <v>22.34</v>
      </c>
      <c r="S6" s="1">
        <f t="shared" si="5"/>
        <v>1.1683079677708148</v>
      </c>
      <c r="T6" s="1">
        <v>28.88</v>
      </c>
      <c r="U6" s="1">
        <v>22.68</v>
      </c>
      <c r="V6" s="1">
        <f t="shared" si="6"/>
        <v>1.2733686067019401</v>
      </c>
      <c r="W6" s="1">
        <v>18.53</v>
      </c>
      <c r="X6" s="1">
        <v>23.54</v>
      </c>
      <c r="Y6" s="1">
        <f t="shared" si="7"/>
        <v>0.78717077315208162</v>
      </c>
    </row>
    <row r="7" spans="1:25" x14ac:dyDescent="0.25">
      <c r="A7" t="s">
        <v>6</v>
      </c>
      <c r="B7" s="1">
        <v>35.19</v>
      </c>
      <c r="C7" s="1">
        <v>21.05</v>
      </c>
      <c r="D7" s="1">
        <f t="shared" si="0"/>
        <v>1.6717339667458431</v>
      </c>
      <c r="E7" s="1">
        <v>26.27</v>
      </c>
      <c r="F7" s="1">
        <v>25.33</v>
      </c>
      <c r="G7" s="1">
        <f t="shared" si="1"/>
        <v>1.0371101460718517</v>
      </c>
      <c r="H7" s="1">
        <v>20.75</v>
      </c>
      <c r="I7" s="1">
        <v>22.65</v>
      </c>
      <c r="J7" s="1">
        <f t="shared" si="2"/>
        <v>0.91611479028697573</v>
      </c>
      <c r="K7" s="1">
        <v>25.27</v>
      </c>
      <c r="L7" s="1">
        <v>22.22</v>
      </c>
      <c r="M7" s="1">
        <f t="shared" si="3"/>
        <v>1.1372637263726373</v>
      </c>
      <c r="N7" s="1">
        <v>15.39</v>
      </c>
      <c r="O7" s="1">
        <v>19.989999999999998</v>
      </c>
      <c r="P7" s="1">
        <f t="shared" si="4"/>
        <v>0.76988494247123573</v>
      </c>
      <c r="Q7" s="1">
        <v>25.06</v>
      </c>
      <c r="R7" s="1">
        <v>24.96</v>
      </c>
      <c r="S7" s="1">
        <f t="shared" si="5"/>
        <v>1.0040064102564101</v>
      </c>
      <c r="T7" s="1">
        <v>28.65</v>
      </c>
      <c r="U7" s="1">
        <v>20.93</v>
      </c>
      <c r="V7" s="1">
        <f t="shared" si="6"/>
        <v>1.3688485427615862</v>
      </c>
      <c r="W7" s="1">
        <v>23.18</v>
      </c>
      <c r="X7" s="1">
        <v>22.42</v>
      </c>
      <c r="Y7" s="1">
        <f t="shared" si="7"/>
        <v>1.0338983050847457</v>
      </c>
    </row>
    <row r="8" spans="1:25" x14ac:dyDescent="0.25">
      <c r="A8" t="s">
        <v>7</v>
      </c>
      <c r="B8" s="1">
        <v>35.26</v>
      </c>
      <c r="C8" s="1">
        <v>18.77</v>
      </c>
      <c r="D8" s="1">
        <f t="shared" si="0"/>
        <v>1.8785295684603089</v>
      </c>
      <c r="E8" s="1">
        <v>33.11</v>
      </c>
      <c r="F8" s="1">
        <v>18.72</v>
      </c>
      <c r="G8" s="1">
        <f t="shared" si="1"/>
        <v>1.7686965811965814</v>
      </c>
      <c r="H8" s="1">
        <v>24.19</v>
      </c>
      <c r="I8" s="1">
        <v>18.73</v>
      </c>
      <c r="J8" s="1">
        <f t="shared" si="2"/>
        <v>1.2915109450080087</v>
      </c>
      <c r="K8" s="1">
        <v>32.659999999999997</v>
      </c>
      <c r="L8" s="1">
        <v>17.34</v>
      </c>
      <c r="M8" s="1">
        <f t="shared" si="3"/>
        <v>1.8835063437139561</v>
      </c>
      <c r="N8" s="1">
        <v>11.05</v>
      </c>
      <c r="O8" s="1">
        <v>20.74</v>
      </c>
      <c r="P8" s="1">
        <f t="shared" si="4"/>
        <v>0.53278688524590168</v>
      </c>
      <c r="Q8" s="1">
        <v>32.590000000000003</v>
      </c>
      <c r="R8" s="1">
        <v>18</v>
      </c>
      <c r="S8" s="1">
        <f t="shared" si="5"/>
        <v>1.8105555555555557</v>
      </c>
      <c r="T8" s="1">
        <v>31.15</v>
      </c>
      <c r="U8" s="1">
        <v>17.55</v>
      </c>
      <c r="V8" s="1">
        <f t="shared" si="6"/>
        <v>1.7749287749287748</v>
      </c>
      <c r="W8" s="1">
        <v>21.66</v>
      </c>
      <c r="X8" s="1">
        <v>22.28</v>
      </c>
      <c r="Y8" s="1">
        <f t="shared" si="7"/>
        <v>0.97217235188509865</v>
      </c>
    </row>
    <row r="9" spans="1:25" x14ac:dyDescent="0.25">
      <c r="A9" t="s">
        <v>8</v>
      </c>
      <c r="B9" s="1">
        <v>26.57</v>
      </c>
      <c r="C9" s="1">
        <v>28.38</v>
      </c>
      <c r="D9" s="1">
        <f t="shared" si="0"/>
        <v>0.93622269203664554</v>
      </c>
      <c r="E9" s="1">
        <v>33.24</v>
      </c>
      <c r="F9" s="1">
        <v>24.86</v>
      </c>
      <c r="G9" s="1">
        <f t="shared" si="1"/>
        <v>1.337087691069992</v>
      </c>
      <c r="H9" s="1">
        <v>22.02</v>
      </c>
      <c r="I9" s="1">
        <v>28.61</v>
      </c>
      <c r="J9" s="1">
        <f t="shared" si="2"/>
        <v>0.76966095770709542</v>
      </c>
      <c r="K9" s="1">
        <v>24.52</v>
      </c>
      <c r="L9" s="1">
        <v>27.24</v>
      </c>
      <c r="M9" s="1">
        <f t="shared" si="3"/>
        <v>0.90014684287812041</v>
      </c>
      <c r="N9" s="3">
        <v>3.51</v>
      </c>
      <c r="O9" s="1">
        <v>31.97</v>
      </c>
      <c r="P9" s="1">
        <f t="shared" si="4"/>
        <v>0.10979042852674382</v>
      </c>
      <c r="Q9" s="1">
        <v>27.91</v>
      </c>
      <c r="R9" s="1">
        <v>25.99</v>
      </c>
      <c r="S9" s="1">
        <f t="shared" si="5"/>
        <v>1.0738745671412082</v>
      </c>
      <c r="T9" s="1">
        <v>23.34</v>
      </c>
      <c r="U9" s="1">
        <v>27.93</v>
      </c>
      <c r="V9" s="1">
        <f t="shared" si="6"/>
        <v>0.83566058002148225</v>
      </c>
      <c r="W9" s="4">
        <v>14.14</v>
      </c>
      <c r="X9" s="1">
        <v>31.37</v>
      </c>
      <c r="Y9" s="1">
        <f t="shared" si="7"/>
        <v>0.45074912336627354</v>
      </c>
    </row>
    <row r="10" spans="1:25" s="7" customFormat="1" x14ac:dyDescent="0.25">
      <c r="A10" s="7" t="s">
        <v>9</v>
      </c>
      <c r="B10" s="4">
        <v>35.35</v>
      </c>
      <c r="C10" s="4">
        <v>19.77</v>
      </c>
      <c r="D10" s="4">
        <f t="shared" si="0"/>
        <v>1.7880627212948914</v>
      </c>
      <c r="E10" s="4">
        <v>37.24</v>
      </c>
      <c r="F10" s="4">
        <v>12.36</v>
      </c>
      <c r="G10" s="4">
        <f t="shared" si="1"/>
        <v>3.0129449838187705</v>
      </c>
      <c r="H10" s="4">
        <v>24.32</v>
      </c>
      <c r="I10" s="4">
        <v>18.100000000000001</v>
      </c>
      <c r="J10" s="4">
        <f t="shared" si="2"/>
        <v>1.3436464088397788</v>
      </c>
      <c r="K10" s="4">
        <v>18.21</v>
      </c>
      <c r="L10" s="4">
        <v>28.84</v>
      </c>
      <c r="M10" s="4">
        <f t="shared" si="3"/>
        <v>0.63141470180305137</v>
      </c>
      <c r="N10" s="4">
        <v>18.760000000000002</v>
      </c>
      <c r="O10" s="4">
        <v>19.36</v>
      </c>
      <c r="P10" s="4">
        <f t="shared" si="4"/>
        <v>0.96900826446281008</v>
      </c>
      <c r="Q10" s="4">
        <v>28.43</v>
      </c>
      <c r="R10" s="4">
        <v>19.440000000000001</v>
      </c>
      <c r="S10" s="4">
        <f t="shared" si="5"/>
        <v>1.4624485596707817</v>
      </c>
      <c r="T10" s="4">
        <v>26.25</v>
      </c>
      <c r="U10" s="4">
        <v>21.7</v>
      </c>
      <c r="V10" s="4">
        <f t="shared" si="6"/>
        <v>1.2096774193548387</v>
      </c>
      <c r="W10" s="4">
        <v>23.76</v>
      </c>
      <c r="X10" s="4">
        <v>23.56</v>
      </c>
      <c r="Y10" s="4">
        <f t="shared" si="7"/>
        <v>1.0084889643463499</v>
      </c>
    </row>
    <row r="11" spans="1:25" x14ac:dyDescent="0.25">
      <c r="A11" t="s">
        <v>10</v>
      </c>
      <c r="B11" s="3">
        <v>6.92</v>
      </c>
      <c r="C11" s="1">
        <v>35.22</v>
      </c>
      <c r="D11" s="1">
        <f t="shared" si="0"/>
        <v>0.19647927314026123</v>
      </c>
      <c r="E11" s="1">
        <v>28.79</v>
      </c>
      <c r="F11" s="1">
        <v>26.33</v>
      </c>
      <c r="G11" s="1">
        <f t="shared" si="1"/>
        <v>1.0934295480440563</v>
      </c>
      <c r="H11" s="1">
        <v>28.08</v>
      </c>
      <c r="I11" s="1">
        <v>24.3</v>
      </c>
      <c r="J11" s="1">
        <f t="shared" si="2"/>
        <v>1.1555555555555554</v>
      </c>
      <c r="K11" s="1">
        <v>28.83</v>
      </c>
      <c r="L11" s="1">
        <v>25.39</v>
      </c>
      <c r="M11" s="1">
        <f t="shared" si="3"/>
        <v>1.1354864119732178</v>
      </c>
      <c r="N11" s="3">
        <v>2.65</v>
      </c>
      <c r="O11" s="1">
        <v>31.53</v>
      </c>
      <c r="P11" s="1">
        <f t="shared" si="4"/>
        <v>8.4046939422771957E-2</v>
      </c>
      <c r="Q11" s="1">
        <v>32.450000000000003</v>
      </c>
      <c r="R11" s="1">
        <v>20.32</v>
      </c>
      <c r="S11" s="1">
        <f t="shared" si="5"/>
        <v>1.596948818897638</v>
      </c>
      <c r="T11" s="1">
        <v>30.17</v>
      </c>
      <c r="U11" s="1">
        <v>23.15</v>
      </c>
      <c r="V11" s="1">
        <f t="shared" si="6"/>
        <v>1.3032397408207346</v>
      </c>
      <c r="W11" s="1">
        <v>21.18</v>
      </c>
      <c r="X11" s="1">
        <v>31.85</v>
      </c>
      <c r="Y11" s="1">
        <f t="shared" si="7"/>
        <v>0.66499215070643636</v>
      </c>
    </row>
    <row r="12" spans="1:25" x14ac:dyDescent="0.25">
      <c r="A12" t="s">
        <v>11</v>
      </c>
      <c r="B12" s="1">
        <v>32.07</v>
      </c>
      <c r="C12" s="1">
        <v>19.04</v>
      </c>
      <c r="D12" s="1">
        <f t="shared" si="0"/>
        <v>1.6843487394957983</v>
      </c>
      <c r="E12" s="1">
        <v>34.79</v>
      </c>
      <c r="F12" s="1">
        <v>17.18</v>
      </c>
      <c r="G12" s="1">
        <f t="shared" si="1"/>
        <v>2.0250291036088477</v>
      </c>
      <c r="H12" s="1">
        <v>27.84</v>
      </c>
      <c r="I12" s="1">
        <v>21.64</v>
      </c>
      <c r="J12" s="1">
        <f t="shared" si="2"/>
        <v>1.2865064695009241</v>
      </c>
      <c r="K12" s="1">
        <v>39.15</v>
      </c>
      <c r="L12" s="1">
        <v>16.170000000000002</v>
      </c>
      <c r="M12" s="1">
        <f t="shared" si="3"/>
        <v>2.4211502782931351</v>
      </c>
      <c r="N12" s="1">
        <v>18.13</v>
      </c>
      <c r="O12" s="1">
        <v>22.58</v>
      </c>
      <c r="P12" s="1">
        <f t="shared" si="4"/>
        <v>0.80292294065544734</v>
      </c>
      <c r="Q12" s="1">
        <v>29.72</v>
      </c>
      <c r="R12" s="1">
        <v>22.55</v>
      </c>
      <c r="S12" s="1">
        <f t="shared" si="5"/>
        <v>1.3179600886917959</v>
      </c>
      <c r="T12" s="1">
        <v>32.799999999999997</v>
      </c>
      <c r="U12" s="1">
        <v>21.79</v>
      </c>
      <c r="V12" s="1">
        <f t="shared" si="6"/>
        <v>1.5052776502983019</v>
      </c>
      <c r="W12" s="1">
        <v>22.3</v>
      </c>
      <c r="X12" s="1">
        <v>27.55</v>
      </c>
      <c r="Y12" s="1">
        <f t="shared" si="7"/>
        <v>0.80943738656987296</v>
      </c>
    </row>
    <row r="13" spans="1:25" x14ac:dyDescent="0.25">
      <c r="A13" t="s">
        <v>12</v>
      </c>
      <c r="B13" s="1">
        <v>34.11</v>
      </c>
      <c r="C13" s="1">
        <v>21.08</v>
      </c>
      <c r="D13" s="1">
        <f t="shared" si="0"/>
        <v>1.6181214421252372</v>
      </c>
      <c r="E13" s="1">
        <v>36.51</v>
      </c>
      <c r="F13" s="1">
        <v>17.07</v>
      </c>
      <c r="G13" s="1">
        <f t="shared" si="1"/>
        <v>2.1388400702987695</v>
      </c>
      <c r="H13" s="1">
        <v>30.73</v>
      </c>
      <c r="I13" s="1">
        <v>20.07</v>
      </c>
      <c r="J13" s="1">
        <f t="shared" si="2"/>
        <v>1.5311410064773294</v>
      </c>
      <c r="K13" s="1">
        <v>29.06</v>
      </c>
      <c r="L13" s="1">
        <v>22.96</v>
      </c>
      <c r="M13" s="1">
        <f t="shared" si="3"/>
        <v>1.2656794425087108</v>
      </c>
      <c r="N13" s="1">
        <v>14.87</v>
      </c>
      <c r="O13" s="1">
        <v>22.26</v>
      </c>
      <c r="P13" s="1">
        <f t="shared" si="4"/>
        <v>0.6680143755615453</v>
      </c>
      <c r="Q13" s="1">
        <v>28.83</v>
      </c>
      <c r="R13" s="1">
        <v>24.33</v>
      </c>
      <c r="S13" s="1">
        <f t="shared" si="5"/>
        <v>1.1849568434032058</v>
      </c>
      <c r="T13" s="1">
        <v>32.86</v>
      </c>
      <c r="U13" s="1">
        <v>21.94</v>
      </c>
      <c r="V13" s="1">
        <f t="shared" si="6"/>
        <v>1.4977210574293527</v>
      </c>
      <c r="W13" s="1">
        <v>21.69</v>
      </c>
      <c r="X13" s="1">
        <v>26.38</v>
      </c>
      <c r="Y13" s="1">
        <f t="shared" si="7"/>
        <v>0.82221379833206987</v>
      </c>
    </row>
    <row r="14" spans="1:25" x14ac:dyDescent="0.25">
      <c r="A14" t="s">
        <v>13</v>
      </c>
      <c r="B14" s="1">
        <v>27.93</v>
      </c>
      <c r="C14" s="1">
        <v>29.42</v>
      </c>
      <c r="D14" s="1">
        <f t="shared" si="0"/>
        <v>0.94935418082936773</v>
      </c>
      <c r="E14" s="1">
        <v>36.51</v>
      </c>
      <c r="F14" s="1">
        <v>20.41</v>
      </c>
      <c r="G14" s="1">
        <f t="shared" si="1"/>
        <v>1.7888290053895148</v>
      </c>
      <c r="H14" s="1">
        <v>31.11</v>
      </c>
      <c r="I14" s="1">
        <v>21.34</v>
      </c>
      <c r="J14" s="1">
        <f t="shared" si="2"/>
        <v>1.4578256794751641</v>
      </c>
      <c r="K14" s="1">
        <v>24.89</v>
      </c>
      <c r="L14" s="1">
        <v>26.41</v>
      </c>
      <c r="M14" s="1">
        <f t="shared" si="3"/>
        <v>0.94244604316546765</v>
      </c>
      <c r="N14" s="1">
        <v>15.13</v>
      </c>
      <c r="O14" s="1">
        <v>29.71</v>
      </c>
      <c r="P14" s="1">
        <f t="shared" si="4"/>
        <v>0.50925614271289132</v>
      </c>
      <c r="Q14" s="1">
        <v>33.19</v>
      </c>
      <c r="R14" s="1">
        <v>19.36</v>
      </c>
      <c r="S14" s="1">
        <f t="shared" si="5"/>
        <v>1.7143595041322313</v>
      </c>
      <c r="T14" s="1">
        <v>35</v>
      </c>
      <c r="U14" s="1">
        <v>17.98</v>
      </c>
      <c r="V14" s="1">
        <f t="shared" si="6"/>
        <v>1.9466073414905449</v>
      </c>
      <c r="W14" s="1">
        <v>24.69</v>
      </c>
      <c r="X14" s="1">
        <v>26.53</v>
      </c>
      <c r="Y14" s="1">
        <f t="shared" si="7"/>
        <v>0.93064455333584617</v>
      </c>
    </row>
    <row r="17" spans="3:3" x14ac:dyDescent="0.25">
      <c r="C17">
        <f>8*13</f>
        <v>104</v>
      </c>
    </row>
    <row r="18" spans="3:3" x14ac:dyDescent="0.25">
      <c r="C18">
        <f>0.05/C17</f>
        <v>4.807692307692308E-4</v>
      </c>
    </row>
    <row r="24" spans="3:3" x14ac:dyDescent="0.25">
      <c r="C24">
        <f>10^-3</f>
        <v>1E-3</v>
      </c>
    </row>
    <row r="25" spans="3:3" x14ac:dyDescent="0.25">
      <c r="C25">
        <f>4.8*10^-4</f>
        <v>4.8000000000000001E-4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topLeftCell="B15" workbookViewId="0">
      <selection activeCell="R27" sqref="R27"/>
    </sheetView>
  </sheetViews>
  <sheetFormatPr defaultColWidth="11" defaultRowHeight="15.75" x14ac:dyDescent="0.25"/>
  <cols>
    <col min="3" max="3" width="10.875" style="5"/>
    <col min="5" max="5" width="10.875" style="5"/>
    <col min="7" max="7" width="10.875" style="5"/>
    <col min="9" max="9" width="10.875" style="5"/>
    <col min="11" max="11" width="10.875" style="5"/>
    <col min="13" max="13" width="10.875" style="5"/>
    <col min="15" max="15" width="10.875" style="5"/>
    <col min="17" max="17" width="10.875" style="5"/>
  </cols>
  <sheetData>
    <row r="1" spans="1:19" x14ac:dyDescent="0.25">
      <c r="A1" s="1" t="s">
        <v>1</v>
      </c>
      <c r="B1" s="1" t="s">
        <v>16</v>
      </c>
      <c r="D1" s="1" t="s">
        <v>19</v>
      </c>
      <c r="F1" s="1" t="s">
        <v>22</v>
      </c>
      <c r="H1" s="1" t="s">
        <v>25</v>
      </c>
      <c r="J1" s="1" t="s">
        <v>28</v>
      </c>
      <c r="L1" s="1" t="s">
        <v>31</v>
      </c>
      <c r="N1" s="1" t="s">
        <v>34</v>
      </c>
      <c r="P1" s="1" t="s">
        <v>37</v>
      </c>
    </row>
    <row r="2" spans="1:19" x14ac:dyDescent="0.25">
      <c r="A2" s="1" t="s">
        <v>0</v>
      </c>
      <c r="B2" s="1">
        <v>0.99163179916317989</v>
      </c>
      <c r="C2" s="5">
        <v>95</v>
      </c>
      <c r="D2" s="1">
        <v>1.7142099681866383</v>
      </c>
      <c r="E2" s="5">
        <v>95</v>
      </c>
      <c r="F2" s="1">
        <v>1.1828153564899451</v>
      </c>
      <c r="G2" s="5">
        <v>95</v>
      </c>
      <c r="H2" s="1">
        <v>1.1971356360572873</v>
      </c>
      <c r="I2" s="5">
        <v>95</v>
      </c>
      <c r="J2" s="1">
        <v>0.29090214067278286</v>
      </c>
      <c r="K2" s="5">
        <v>92</v>
      </c>
      <c r="L2" s="1">
        <v>1.0349127182044888</v>
      </c>
      <c r="M2" s="5">
        <v>95</v>
      </c>
      <c r="N2" s="1">
        <v>1.4878277153558053</v>
      </c>
      <c r="O2" s="5">
        <v>95</v>
      </c>
      <c r="P2" s="1">
        <v>0.44428822495606329</v>
      </c>
      <c r="Q2" s="5">
        <v>94</v>
      </c>
      <c r="S2" s="5">
        <f>AVERAGE(C2,E2,G2,I2,K2,M2,O2,Q2)</f>
        <v>94.5</v>
      </c>
    </row>
    <row r="3" spans="1:19" x14ac:dyDescent="0.25">
      <c r="A3" s="1" t="s">
        <v>2</v>
      </c>
      <c r="B3" s="1">
        <v>1.3024980483996875</v>
      </c>
      <c r="C3" s="5">
        <v>173</v>
      </c>
      <c r="D3" s="1">
        <v>1.8201511335012595</v>
      </c>
      <c r="E3" s="5">
        <v>173</v>
      </c>
      <c r="F3" s="1">
        <v>1.4240714621532675</v>
      </c>
      <c r="G3" s="5">
        <v>169</v>
      </c>
      <c r="H3" s="1">
        <v>1.0812499999999998</v>
      </c>
      <c r="I3" s="5">
        <v>167</v>
      </c>
      <c r="J3" s="1">
        <v>0.61701337295690928</v>
      </c>
      <c r="K3" s="5">
        <v>160</v>
      </c>
      <c r="L3" s="1">
        <v>1.3742360131640809</v>
      </c>
      <c r="M3" s="5">
        <v>168</v>
      </c>
      <c r="N3" s="1">
        <v>1.6940078585461691</v>
      </c>
      <c r="O3" s="5">
        <v>169</v>
      </c>
      <c r="P3" s="1">
        <v>0.71518054532056008</v>
      </c>
      <c r="Q3" s="5">
        <v>158</v>
      </c>
      <c r="S3" s="5">
        <f t="shared" ref="S3:S14" si="0">AVERAGE(C3,E3,G3,I3,K3,M3,O3,Q3)</f>
        <v>167.125</v>
      </c>
    </row>
    <row r="4" spans="1:19" x14ac:dyDescent="0.25">
      <c r="A4" s="1" t="s">
        <v>3</v>
      </c>
      <c r="B4" s="1">
        <v>1.3506334286881896</v>
      </c>
      <c r="C4" s="5">
        <v>133</v>
      </c>
      <c r="D4" s="1">
        <v>1.8842841765339076</v>
      </c>
      <c r="E4" s="5">
        <v>132</v>
      </c>
      <c r="F4" s="1">
        <v>1.6923494302767228</v>
      </c>
      <c r="G4" s="5">
        <v>131</v>
      </c>
      <c r="H4" s="1">
        <v>1.9281150159744409</v>
      </c>
      <c r="I4" s="5">
        <v>131</v>
      </c>
      <c r="J4" s="1">
        <v>0.64294379296401127</v>
      </c>
      <c r="K4" s="5">
        <v>126</v>
      </c>
      <c r="L4" s="1">
        <v>1.4470046082949308</v>
      </c>
      <c r="M4" s="5">
        <v>129</v>
      </c>
      <c r="N4" s="1">
        <v>1.3703535811423391</v>
      </c>
      <c r="O4" s="5">
        <v>129</v>
      </c>
      <c r="P4" s="1">
        <v>0.91334093500570135</v>
      </c>
      <c r="Q4" s="5">
        <v>122</v>
      </c>
      <c r="S4" s="5">
        <f t="shared" si="0"/>
        <v>129.125</v>
      </c>
    </row>
    <row r="5" spans="1:19" x14ac:dyDescent="0.25">
      <c r="A5" s="1" t="s">
        <v>4</v>
      </c>
      <c r="B5" s="1">
        <v>1.2379084967320262</v>
      </c>
      <c r="C5" s="5">
        <v>228</v>
      </c>
      <c r="D5" s="1">
        <v>1.6798597194388778</v>
      </c>
      <c r="E5" s="5">
        <v>228</v>
      </c>
      <c r="F5" s="1">
        <v>1.6792885829030408</v>
      </c>
      <c r="G5" s="5">
        <v>227</v>
      </c>
      <c r="H5" s="1">
        <v>1.7180710121886593</v>
      </c>
      <c r="I5" s="5">
        <v>224</v>
      </c>
      <c r="J5" s="1">
        <v>0.81112548512289773</v>
      </c>
      <c r="K5" s="5">
        <v>223</v>
      </c>
      <c r="L5" s="1">
        <v>1.6559705418200945</v>
      </c>
      <c r="M5" s="5">
        <v>226</v>
      </c>
      <c r="N5" s="1">
        <v>1.5845360824742269</v>
      </c>
      <c r="O5" s="5">
        <v>227</v>
      </c>
      <c r="P5" s="1">
        <v>1.1142977646562633</v>
      </c>
      <c r="Q5" s="5">
        <v>222</v>
      </c>
      <c r="S5" s="5">
        <f t="shared" si="0"/>
        <v>225.625</v>
      </c>
    </row>
    <row r="6" spans="1:19" x14ac:dyDescent="0.25">
      <c r="A6" s="1" t="s">
        <v>5</v>
      </c>
      <c r="B6" s="1">
        <v>1.2847922549415087</v>
      </c>
      <c r="C6" s="5">
        <v>67</v>
      </c>
      <c r="D6" s="1">
        <v>1.447095435684647</v>
      </c>
      <c r="E6" s="5">
        <v>67</v>
      </c>
      <c r="F6" s="1">
        <v>1.2637474541751528</v>
      </c>
      <c r="G6" s="5">
        <v>67</v>
      </c>
      <c r="H6" s="1">
        <v>1.4230410447761195</v>
      </c>
      <c r="I6" s="5">
        <v>67</v>
      </c>
      <c r="J6" s="1">
        <v>0.55759429153924567</v>
      </c>
      <c r="K6" s="5">
        <v>67</v>
      </c>
      <c r="L6" s="1">
        <v>1.1683079677708148</v>
      </c>
      <c r="M6" s="5">
        <v>67</v>
      </c>
      <c r="N6" s="1">
        <v>1.2733686067019401</v>
      </c>
      <c r="O6" s="5">
        <v>67</v>
      </c>
      <c r="P6" s="1">
        <v>0.78717077315208162</v>
      </c>
      <c r="Q6" s="5">
        <v>66</v>
      </c>
      <c r="S6" s="5">
        <f t="shared" si="0"/>
        <v>66.875</v>
      </c>
    </row>
    <row r="7" spans="1:19" x14ac:dyDescent="0.25">
      <c r="A7" s="1" t="s">
        <v>6</v>
      </c>
      <c r="B7" s="1">
        <v>1.6717339667458431</v>
      </c>
      <c r="C7" s="5">
        <v>88</v>
      </c>
      <c r="D7" s="1">
        <v>1.0371101460718517</v>
      </c>
      <c r="E7" s="5">
        <v>88</v>
      </c>
      <c r="F7" s="1">
        <v>0.91611479028697573</v>
      </c>
      <c r="G7" s="5">
        <v>88</v>
      </c>
      <c r="H7" s="1">
        <v>1.1372637263726373</v>
      </c>
      <c r="I7" s="5">
        <v>88</v>
      </c>
      <c r="J7" s="1">
        <v>0.76988494247123573</v>
      </c>
      <c r="K7" s="5">
        <v>88</v>
      </c>
      <c r="L7" s="1">
        <v>1.0040064102564101</v>
      </c>
      <c r="M7" s="5">
        <v>86</v>
      </c>
      <c r="N7" s="1">
        <v>1.3688485427615862</v>
      </c>
      <c r="O7" s="5">
        <v>88</v>
      </c>
      <c r="P7" s="1">
        <v>1.0338983050847457</v>
      </c>
      <c r="Q7" s="5">
        <v>88</v>
      </c>
      <c r="S7" s="5">
        <f t="shared" si="0"/>
        <v>87.75</v>
      </c>
    </row>
    <row r="8" spans="1:19" x14ac:dyDescent="0.25">
      <c r="A8" s="1" t="s">
        <v>7</v>
      </c>
      <c r="B8" s="1">
        <v>1.8785295684603089</v>
      </c>
      <c r="C8" s="5">
        <v>76</v>
      </c>
      <c r="D8" s="1">
        <v>1.7686965811965814</v>
      </c>
      <c r="E8" s="5">
        <v>76</v>
      </c>
      <c r="F8" s="1">
        <v>1.2915109450080087</v>
      </c>
      <c r="G8" s="5">
        <v>75</v>
      </c>
      <c r="H8" s="1">
        <v>1.8835063437139561</v>
      </c>
      <c r="I8" s="5">
        <v>76</v>
      </c>
      <c r="J8" s="1">
        <v>0.53278688524590168</v>
      </c>
      <c r="K8" s="5">
        <v>75</v>
      </c>
      <c r="L8" s="1">
        <v>1.8105555555555557</v>
      </c>
      <c r="M8" s="5">
        <v>76</v>
      </c>
      <c r="N8" s="1">
        <v>1.7749287749287748</v>
      </c>
      <c r="O8" s="5">
        <v>74</v>
      </c>
      <c r="P8" s="1">
        <v>0.97217235188509865</v>
      </c>
      <c r="Q8" s="5">
        <v>74</v>
      </c>
      <c r="S8" s="5">
        <f t="shared" si="0"/>
        <v>75.25</v>
      </c>
    </row>
    <row r="9" spans="1:19" x14ac:dyDescent="0.25">
      <c r="A9" s="1" t="s">
        <v>8</v>
      </c>
      <c r="B9" s="1">
        <v>0.93622269203664554</v>
      </c>
      <c r="C9" s="5">
        <v>42</v>
      </c>
      <c r="D9" s="1">
        <v>1.337087691069992</v>
      </c>
      <c r="E9" s="5">
        <v>42</v>
      </c>
      <c r="F9" s="1">
        <v>0.76966095770709542</v>
      </c>
      <c r="G9" s="5">
        <v>42</v>
      </c>
      <c r="H9" s="1">
        <v>0.90014684287812041</v>
      </c>
      <c r="I9" s="5">
        <v>42</v>
      </c>
      <c r="J9" s="1">
        <v>0.10979042852674382</v>
      </c>
      <c r="K9" s="5">
        <v>37</v>
      </c>
      <c r="L9" s="1">
        <v>1.0738745671412082</v>
      </c>
      <c r="M9" s="5">
        <v>42</v>
      </c>
      <c r="N9" s="1">
        <v>0.83566058002148225</v>
      </c>
      <c r="O9" s="5">
        <v>41</v>
      </c>
      <c r="P9" s="1">
        <v>0.45074912336627354</v>
      </c>
      <c r="Q9" s="5">
        <v>37</v>
      </c>
      <c r="S9" s="5">
        <f t="shared" si="0"/>
        <v>40.625</v>
      </c>
    </row>
    <row r="10" spans="1:19" x14ac:dyDescent="0.25">
      <c r="A10" s="4" t="s">
        <v>9</v>
      </c>
      <c r="B10" s="1">
        <v>1.79</v>
      </c>
      <c r="C10" s="5">
        <v>54</v>
      </c>
      <c r="D10" s="1">
        <v>3.01</v>
      </c>
      <c r="E10" s="5">
        <v>54</v>
      </c>
      <c r="F10" s="1">
        <v>1.34</v>
      </c>
      <c r="G10" s="5">
        <v>54</v>
      </c>
      <c r="H10" s="1">
        <v>0.63098985659321438</v>
      </c>
      <c r="I10" s="5">
        <v>53</v>
      </c>
      <c r="J10" s="1">
        <v>0.97394476289734233</v>
      </c>
      <c r="K10" s="5">
        <v>54</v>
      </c>
      <c r="L10" s="1">
        <v>1.46</v>
      </c>
      <c r="M10" s="5">
        <v>54</v>
      </c>
      <c r="N10" s="1">
        <v>1.21</v>
      </c>
      <c r="O10" s="5">
        <v>53</v>
      </c>
      <c r="P10" s="1">
        <v>1.01</v>
      </c>
      <c r="Q10" s="5">
        <v>53</v>
      </c>
      <c r="S10" s="5">
        <f t="shared" si="0"/>
        <v>53.625</v>
      </c>
    </row>
    <row r="11" spans="1:19" x14ac:dyDescent="0.25">
      <c r="A11" s="1" t="s">
        <v>10</v>
      </c>
      <c r="B11" s="1">
        <v>0.19647927314026123</v>
      </c>
      <c r="C11" s="5">
        <v>96</v>
      </c>
      <c r="D11" s="1">
        <v>1.0934295480440563</v>
      </c>
      <c r="E11" s="5">
        <v>96</v>
      </c>
      <c r="F11" s="1">
        <v>1.1555555555555554</v>
      </c>
      <c r="G11" s="5">
        <v>95</v>
      </c>
      <c r="H11" s="1">
        <v>1.1354864119732178</v>
      </c>
      <c r="I11" s="5">
        <v>95</v>
      </c>
      <c r="J11" s="1">
        <v>8.4046939422771957E-2</v>
      </c>
      <c r="K11" s="5">
        <v>95</v>
      </c>
      <c r="L11" s="1">
        <v>1.596948818897638</v>
      </c>
      <c r="M11" s="5">
        <v>95</v>
      </c>
      <c r="N11" s="1">
        <v>1.3032397408207346</v>
      </c>
      <c r="O11" s="5">
        <v>93</v>
      </c>
      <c r="P11" s="1">
        <v>0.66499215070643636</v>
      </c>
      <c r="Q11" s="5">
        <v>94</v>
      </c>
      <c r="S11" s="5">
        <f t="shared" si="0"/>
        <v>94.875</v>
      </c>
    </row>
    <row r="12" spans="1:19" x14ac:dyDescent="0.25">
      <c r="A12" s="1" t="s">
        <v>11</v>
      </c>
      <c r="B12" s="1">
        <v>1.6843487394957983</v>
      </c>
      <c r="C12" s="5">
        <v>82</v>
      </c>
      <c r="D12" s="1">
        <v>2.0250291036088477</v>
      </c>
      <c r="E12" s="5">
        <v>82</v>
      </c>
      <c r="F12" s="1">
        <v>1.2865064695009241</v>
      </c>
      <c r="G12" s="5">
        <v>80</v>
      </c>
      <c r="H12" s="1">
        <v>2.4211502782931351</v>
      </c>
      <c r="I12" s="5">
        <v>81</v>
      </c>
      <c r="J12" s="1">
        <v>0.80292294065544734</v>
      </c>
      <c r="K12" s="5">
        <v>79</v>
      </c>
      <c r="L12" s="1">
        <v>1.3179600886917959</v>
      </c>
      <c r="M12" s="5">
        <v>79</v>
      </c>
      <c r="N12" s="1">
        <v>1.5052776502983019</v>
      </c>
      <c r="O12" s="5">
        <v>79</v>
      </c>
      <c r="P12" s="1">
        <v>0.80943738656987296</v>
      </c>
      <c r="Q12" s="5">
        <v>77</v>
      </c>
      <c r="S12" s="5">
        <f t="shared" si="0"/>
        <v>79.875</v>
      </c>
    </row>
    <row r="13" spans="1:19" x14ac:dyDescent="0.25">
      <c r="A13" s="1" t="s">
        <v>12</v>
      </c>
      <c r="B13" s="1">
        <v>1.6181214421252372</v>
      </c>
      <c r="C13" s="5">
        <v>732</v>
      </c>
      <c r="D13" s="1">
        <v>2.1388400702987695</v>
      </c>
      <c r="E13" s="5">
        <v>733</v>
      </c>
      <c r="F13" s="1">
        <v>1.5311410064773294</v>
      </c>
      <c r="G13" s="5">
        <v>731</v>
      </c>
      <c r="H13" s="1">
        <v>1.2656794425087108</v>
      </c>
      <c r="I13" s="5">
        <v>726</v>
      </c>
      <c r="J13" s="1">
        <v>0.6680143755615453</v>
      </c>
      <c r="K13" s="5">
        <v>719</v>
      </c>
      <c r="L13" s="1">
        <v>1.1849568434032058</v>
      </c>
      <c r="M13" s="5">
        <v>725</v>
      </c>
      <c r="N13" s="1">
        <v>1.4977210574293527</v>
      </c>
      <c r="O13" s="5">
        <v>722</v>
      </c>
      <c r="P13" s="1">
        <v>0.82221379833206987</v>
      </c>
      <c r="Q13" s="5">
        <v>717</v>
      </c>
      <c r="S13" s="5">
        <f t="shared" si="0"/>
        <v>725.625</v>
      </c>
    </row>
    <row r="14" spans="1:19" x14ac:dyDescent="0.25">
      <c r="A14" s="1" t="s">
        <v>13</v>
      </c>
      <c r="B14" s="1">
        <v>0.94935418082936773</v>
      </c>
      <c r="C14" s="5">
        <v>57</v>
      </c>
      <c r="D14" s="1">
        <v>1.7888290053895148</v>
      </c>
      <c r="E14" s="5">
        <v>57</v>
      </c>
      <c r="F14" s="1">
        <v>1.4578256794751641</v>
      </c>
      <c r="G14" s="5">
        <v>57</v>
      </c>
      <c r="H14" s="1">
        <v>0.94244604316546765</v>
      </c>
      <c r="I14" s="5">
        <v>57</v>
      </c>
      <c r="J14" s="1">
        <v>0.50925614271289132</v>
      </c>
      <c r="K14" s="5">
        <v>56</v>
      </c>
      <c r="L14" s="1">
        <v>1.7143595041322313</v>
      </c>
      <c r="M14" s="5">
        <v>56</v>
      </c>
      <c r="N14" s="1">
        <v>1.9466073414905449</v>
      </c>
      <c r="O14" s="5">
        <v>57</v>
      </c>
      <c r="P14" s="1">
        <v>0.93064455333584617</v>
      </c>
      <c r="Q14" s="5">
        <v>55</v>
      </c>
      <c r="S14" s="5">
        <f t="shared" si="0"/>
        <v>56.5</v>
      </c>
    </row>
    <row r="15" spans="1:19" x14ac:dyDescent="0.25">
      <c r="A15" s="1" t="s">
        <v>38</v>
      </c>
      <c r="B15" s="2">
        <f>AVERAGE(B2:B14)</f>
        <v>1.299404145442927</v>
      </c>
      <c r="C15" s="6"/>
      <c r="D15" s="2">
        <f t="shared" ref="D15:P15" si="1">AVERAGE(D2:D14)</f>
        <v>1.749586352232688</v>
      </c>
      <c r="E15" s="6"/>
      <c r="F15" s="2">
        <f t="shared" si="1"/>
        <v>1.3069682838468601</v>
      </c>
      <c r="G15" s="6"/>
      <c r="H15" s="2">
        <f t="shared" si="1"/>
        <v>1.3587908964996127</v>
      </c>
      <c r="I15" s="6"/>
      <c r="J15" s="2">
        <f t="shared" si="1"/>
        <v>0.56694050005767127</v>
      </c>
      <c r="K15" s="6"/>
      <c r="L15" s="2">
        <f t="shared" si="1"/>
        <v>1.3725456644101888</v>
      </c>
      <c r="M15" s="6"/>
      <c r="N15" s="2">
        <f t="shared" si="1"/>
        <v>1.450182887074712</v>
      </c>
      <c r="O15" s="6"/>
      <c r="P15" s="2">
        <f t="shared" si="1"/>
        <v>0.82064507018238564</v>
      </c>
      <c r="S15" s="5"/>
    </row>
    <row r="18" spans="1:17" x14ac:dyDescent="0.25">
      <c r="A18" s="1" t="s">
        <v>1</v>
      </c>
      <c r="B18" s="1" t="s">
        <v>39</v>
      </c>
      <c r="D18" s="1" t="s">
        <v>40</v>
      </c>
      <c r="F18" s="1" t="s">
        <v>41</v>
      </c>
      <c r="H18" s="1" t="s">
        <v>42</v>
      </c>
      <c r="J18" s="1" t="s">
        <v>43</v>
      </c>
      <c r="L18" s="1" t="s">
        <v>44</v>
      </c>
      <c r="N18" s="1" t="s">
        <v>45</v>
      </c>
      <c r="P18" s="1" t="s">
        <v>46</v>
      </c>
    </row>
    <row r="19" spans="1:17" x14ac:dyDescent="0.25">
      <c r="A19" s="1" t="s">
        <v>0</v>
      </c>
      <c r="B19" s="1">
        <f>B2/SQRT(B2^2+4)</f>
        <v>0.44421218095976733</v>
      </c>
      <c r="C19" s="1">
        <f>C2</f>
        <v>95</v>
      </c>
      <c r="D19" s="1">
        <f t="shared" ref="D19:N19" si="2">D2/SQRT(D2^2+4)</f>
        <v>0.65077479636967128</v>
      </c>
      <c r="E19" s="1">
        <f>E2</f>
        <v>95</v>
      </c>
      <c r="F19" s="1">
        <f t="shared" si="2"/>
        <v>0.5090473634790148</v>
      </c>
      <c r="G19" s="1">
        <f>G2</f>
        <v>95</v>
      </c>
      <c r="H19" s="1">
        <f t="shared" si="2"/>
        <v>0.51359189502499814</v>
      </c>
      <c r="I19" s="1">
        <f>I2</f>
        <v>95</v>
      </c>
      <c r="J19" s="1">
        <f t="shared" si="2"/>
        <v>0.14393647803189338</v>
      </c>
      <c r="K19" s="1">
        <f>K2</f>
        <v>92</v>
      </c>
      <c r="L19" s="1">
        <f t="shared" si="2"/>
        <v>0.45957354443320575</v>
      </c>
      <c r="M19" s="1">
        <f>M2</f>
        <v>95</v>
      </c>
      <c r="N19" s="1">
        <f t="shared" si="2"/>
        <v>0.59687021080658176</v>
      </c>
      <c r="O19" s="1">
        <f>O2</f>
        <v>95</v>
      </c>
      <c r="P19" s="1">
        <f>P2/SQRT(P2^2+4)</f>
        <v>0.21685779451662682</v>
      </c>
      <c r="Q19" s="5">
        <f>Q2</f>
        <v>94</v>
      </c>
    </row>
    <row r="20" spans="1:17" x14ac:dyDescent="0.25">
      <c r="A20" s="1" t="s">
        <v>2</v>
      </c>
      <c r="B20" s="1">
        <f t="shared" ref="B20:B32" si="3">B3/SQRT(B3^2+4)</f>
        <v>0.54572391482003724</v>
      </c>
      <c r="C20" s="1">
        <f t="shared" ref="C20:C31" si="4">C3</f>
        <v>173</v>
      </c>
      <c r="D20" s="1">
        <f t="shared" ref="D20" si="5">D3/SQRT(D3^2+4)</f>
        <v>0.67307141085697553</v>
      </c>
      <c r="E20" s="1">
        <f t="shared" ref="E20:E31" si="6">E3</f>
        <v>173</v>
      </c>
      <c r="F20" s="1">
        <f t="shared" ref="F20" si="7">F3/SQRT(F3^2+4)</f>
        <v>0.58002391322922708</v>
      </c>
      <c r="G20" s="1">
        <f t="shared" ref="G20:G31" si="8">G3</f>
        <v>169</v>
      </c>
      <c r="H20" s="1">
        <f t="shared" ref="H20" si="9">H3/SQRT(H3^2+4)</f>
        <v>0.47557453050742987</v>
      </c>
      <c r="I20" s="1">
        <f t="shared" ref="I20:I31" si="10">I3</f>
        <v>167</v>
      </c>
      <c r="J20" s="1">
        <f t="shared" ref="J20" si="11">J3/SQRT(J3^2+4)</f>
        <v>0.29479665256571475</v>
      </c>
      <c r="K20" s="1">
        <f t="shared" ref="K20:K31" si="12">K3</f>
        <v>160</v>
      </c>
      <c r="L20" s="1">
        <f t="shared" ref="L20" si="13">L3/SQRT(L3^2+4)</f>
        <v>0.56631501684588248</v>
      </c>
      <c r="M20" s="1">
        <f t="shared" ref="M20:M31" si="14">M3</f>
        <v>168</v>
      </c>
      <c r="N20" s="1">
        <f t="shared" ref="N20" si="15">N3/SQRT(N3^2+4)</f>
        <v>0.64632018019245319</v>
      </c>
      <c r="O20" s="1">
        <f t="shared" ref="O20:O31" si="16">O3</f>
        <v>169</v>
      </c>
      <c r="P20" s="1">
        <f t="shared" ref="P20:P32" si="17">P3/SQRT(P3^2+4)</f>
        <v>0.33671000347199476</v>
      </c>
      <c r="Q20" s="5">
        <f t="shared" ref="Q20:Q31" si="18">Q3</f>
        <v>158</v>
      </c>
    </row>
    <row r="21" spans="1:17" x14ac:dyDescent="0.25">
      <c r="A21" s="1" t="s">
        <v>3</v>
      </c>
      <c r="B21" s="1">
        <f t="shared" si="3"/>
        <v>0.55965315586074138</v>
      </c>
      <c r="C21" s="1">
        <f t="shared" si="4"/>
        <v>133</v>
      </c>
      <c r="D21" s="1">
        <f t="shared" ref="D21" si="19">D4/SQRT(D4^2+4)</f>
        <v>0.68573729939544725</v>
      </c>
      <c r="E21" s="1">
        <f t="shared" si="6"/>
        <v>132</v>
      </c>
      <c r="F21" s="1">
        <f t="shared" ref="F21" si="20">F4/SQRT(F4^2+4)</f>
        <v>0.64595152530673128</v>
      </c>
      <c r="G21" s="1">
        <f t="shared" si="8"/>
        <v>131</v>
      </c>
      <c r="H21" s="1">
        <f t="shared" ref="H21" si="21">H4/SQRT(H4^2+4)</f>
        <v>0.69405043372726727</v>
      </c>
      <c r="I21" s="1">
        <f t="shared" si="10"/>
        <v>131</v>
      </c>
      <c r="J21" s="1">
        <f t="shared" ref="J21" si="22">J4/SQRT(J4^2+4)</f>
        <v>0.30604656398695429</v>
      </c>
      <c r="K21" s="1">
        <f t="shared" si="12"/>
        <v>126</v>
      </c>
      <c r="L21" s="1">
        <f t="shared" ref="L21" si="23">L4/SQRT(L4^2+4)</f>
        <v>0.58617193337477058</v>
      </c>
      <c r="M21" s="1">
        <f t="shared" si="14"/>
        <v>129</v>
      </c>
      <c r="N21" s="1">
        <f t="shared" ref="N21" si="24">N4/SQRT(N4^2+4)</f>
        <v>0.56522672771850713</v>
      </c>
      <c r="O21" s="1">
        <f t="shared" si="16"/>
        <v>129</v>
      </c>
      <c r="P21" s="1">
        <f t="shared" si="17"/>
        <v>0.41540430230286057</v>
      </c>
      <c r="Q21" s="5">
        <f t="shared" si="18"/>
        <v>122</v>
      </c>
    </row>
    <row r="22" spans="1:17" x14ac:dyDescent="0.25">
      <c r="A22" s="1" t="s">
        <v>4</v>
      </c>
      <c r="B22" s="1">
        <f t="shared" si="3"/>
        <v>0.52629721607144297</v>
      </c>
      <c r="C22" s="1">
        <f t="shared" si="4"/>
        <v>228</v>
      </c>
      <c r="D22" s="1">
        <f t="shared" ref="D22" si="25">D5/SQRT(D5^2+4)</f>
        <v>0.64316059631013078</v>
      </c>
      <c r="E22" s="1">
        <f t="shared" si="6"/>
        <v>228</v>
      </c>
      <c r="F22" s="1">
        <f t="shared" ref="F22" si="26">F5/SQRT(F5^2+4)</f>
        <v>0.64303235415964299</v>
      </c>
      <c r="G22" s="1">
        <f t="shared" si="8"/>
        <v>227</v>
      </c>
      <c r="H22" s="1">
        <f t="shared" ref="H22" si="27">H5/SQRT(H5^2+4)</f>
        <v>0.65161860417131257</v>
      </c>
      <c r="I22" s="1">
        <f t="shared" si="10"/>
        <v>224</v>
      </c>
      <c r="J22" s="1">
        <f t="shared" ref="J22" si="28">J5/SQRT(J5^2+4)</f>
        <v>0.37583032718311388</v>
      </c>
      <c r="K22" s="1">
        <f t="shared" si="12"/>
        <v>223</v>
      </c>
      <c r="L22" s="1">
        <f t="shared" ref="L22" si="29">L5/SQRT(L5^2+4)</f>
        <v>0.63775012632469452</v>
      </c>
      <c r="M22" s="1">
        <f t="shared" si="14"/>
        <v>226</v>
      </c>
      <c r="N22" s="1">
        <f t="shared" ref="N22" si="30">N5/SQRT(N5^2+4)</f>
        <v>0.62099266454626478</v>
      </c>
      <c r="O22" s="1">
        <f t="shared" si="16"/>
        <v>227</v>
      </c>
      <c r="P22" s="1">
        <f t="shared" si="17"/>
        <v>0.48670617481775108</v>
      </c>
      <c r="Q22" s="5">
        <f t="shared" si="18"/>
        <v>222</v>
      </c>
    </row>
    <row r="23" spans="1:17" x14ac:dyDescent="0.25">
      <c r="A23" s="1" t="s">
        <v>5</v>
      </c>
      <c r="B23" s="1">
        <f t="shared" si="3"/>
        <v>0.54048310766551255</v>
      </c>
      <c r="C23" s="1">
        <f t="shared" si="4"/>
        <v>67</v>
      </c>
      <c r="D23" s="1">
        <f t="shared" ref="D23" si="31">D6/SQRT(D6^2+4)</f>
        <v>0.58619608398407064</v>
      </c>
      <c r="E23" s="1">
        <f t="shared" si="6"/>
        <v>67</v>
      </c>
      <c r="F23" s="1">
        <f t="shared" ref="F23" si="32">F6/SQRT(F6^2+4)</f>
        <v>0.5341711203897026</v>
      </c>
      <c r="G23" s="1">
        <f t="shared" si="8"/>
        <v>67</v>
      </c>
      <c r="H23" s="1">
        <f t="shared" ref="H23" si="33">H6/SQRT(H6^2+4)</f>
        <v>0.57974531773419913</v>
      </c>
      <c r="I23" s="1">
        <f t="shared" si="10"/>
        <v>67</v>
      </c>
      <c r="J23" s="1">
        <f t="shared" ref="J23" si="34">J6/SQRT(J6^2+4)</f>
        <v>0.26855532659418618</v>
      </c>
      <c r="K23" s="1">
        <f t="shared" si="12"/>
        <v>67</v>
      </c>
      <c r="L23" s="1">
        <f t="shared" ref="L23" si="35">L6/SQRT(L6^2+4)</f>
        <v>0.50439963303477142</v>
      </c>
      <c r="M23" s="1">
        <f t="shared" si="14"/>
        <v>67</v>
      </c>
      <c r="N23" s="1">
        <f t="shared" ref="N23" si="36">N6/SQRT(N6^2+4)</f>
        <v>0.53706800707371205</v>
      </c>
      <c r="O23" s="1">
        <f t="shared" si="16"/>
        <v>67</v>
      </c>
      <c r="P23" s="1">
        <f t="shared" si="17"/>
        <v>0.36623934316439366</v>
      </c>
      <c r="Q23" s="5">
        <f t="shared" si="18"/>
        <v>66</v>
      </c>
    </row>
    <row r="24" spans="1:17" x14ac:dyDescent="0.25">
      <c r="A24" s="1" t="s">
        <v>6</v>
      </c>
      <c r="B24" s="1">
        <f t="shared" si="3"/>
        <v>0.64133095230268888</v>
      </c>
      <c r="C24" s="1">
        <f t="shared" si="4"/>
        <v>88</v>
      </c>
      <c r="D24" s="1">
        <f t="shared" ref="D24" si="37">D7/SQRT(D7^2+4)</f>
        <v>0.46034273912371909</v>
      </c>
      <c r="E24" s="1">
        <f t="shared" si="6"/>
        <v>88</v>
      </c>
      <c r="F24" s="1">
        <f t="shared" ref="F24" si="38">F7/SQRT(F7^2+4)</f>
        <v>0.41644737939507692</v>
      </c>
      <c r="G24" s="1">
        <f t="shared" si="8"/>
        <v>88</v>
      </c>
      <c r="H24" s="1">
        <f t="shared" ref="H24" si="39">H7/SQRT(H7^2+4)</f>
        <v>0.49430512282468902</v>
      </c>
      <c r="I24" s="1">
        <f t="shared" si="10"/>
        <v>88</v>
      </c>
      <c r="J24" s="1">
        <f t="shared" ref="J24" si="40">J7/SQRT(J7^2+4)</f>
        <v>0.35924497961429425</v>
      </c>
      <c r="K24" s="1">
        <f t="shared" si="12"/>
        <v>88</v>
      </c>
      <c r="L24" s="1">
        <f t="shared" ref="L24" si="41">L7/SQRT(L7^2+4)</f>
        <v>0.44864524960350899</v>
      </c>
      <c r="M24" s="1">
        <f t="shared" si="14"/>
        <v>86</v>
      </c>
      <c r="N24" s="1">
        <f t="shared" ref="N24" si="42">N7/SQRT(N7^2+4)</f>
        <v>0.56480405298453507</v>
      </c>
      <c r="O24" s="1">
        <f t="shared" si="16"/>
        <v>88</v>
      </c>
      <c r="P24" s="1">
        <f t="shared" si="17"/>
        <v>0.45921810665678187</v>
      </c>
      <c r="Q24" s="5">
        <f t="shared" si="18"/>
        <v>88</v>
      </c>
    </row>
    <row r="25" spans="1:17" x14ac:dyDescent="0.25">
      <c r="A25" s="1" t="s">
        <v>7</v>
      </c>
      <c r="B25" s="1">
        <f t="shared" si="3"/>
        <v>0.68462545075030712</v>
      </c>
      <c r="C25" s="1">
        <f t="shared" si="4"/>
        <v>76</v>
      </c>
      <c r="D25" s="1">
        <f t="shared" ref="D25" si="43">D8/SQRT(D8^2+4)</f>
        <v>0.66246163126378332</v>
      </c>
      <c r="E25" s="1">
        <f t="shared" si="6"/>
        <v>76</v>
      </c>
      <c r="F25" s="1">
        <f t="shared" ref="F25" si="44">F8/SQRT(F8^2+4)</f>
        <v>0.542479274103572</v>
      </c>
      <c r="G25" s="1">
        <f t="shared" si="8"/>
        <v>75</v>
      </c>
      <c r="H25" s="1">
        <f t="shared" ref="H25" si="45">H8/SQRT(H8^2+4)</f>
        <v>0.68558729401777652</v>
      </c>
      <c r="I25" s="1">
        <f t="shared" si="10"/>
        <v>76</v>
      </c>
      <c r="J25" s="1">
        <f t="shared" ref="J25" si="46">J8/SQRT(J8^2+4)</f>
        <v>0.25741615367939008</v>
      </c>
      <c r="K25" s="1">
        <f t="shared" si="12"/>
        <v>75</v>
      </c>
      <c r="L25" s="1">
        <f t="shared" ref="L25" si="47">L8/SQRT(L8^2+4)</f>
        <v>0.67112359137577071</v>
      </c>
      <c r="M25" s="1">
        <f t="shared" si="14"/>
        <v>76</v>
      </c>
      <c r="N25" s="1">
        <f t="shared" ref="N25" si="48">N8/SQRT(N8^2+4)</f>
        <v>0.66376845195680756</v>
      </c>
      <c r="O25" s="1">
        <f t="shared" si="16"/>
        <v>74</v>
      </c>
      <c r="P25" s="1">
        <f t="shared" si="17"/>
        <v>0.43717456714448971</v>
      </c>
      <c r="Q25" s="5">
        <f t="shared" si="18"/>
        <v>74</v>
      </c>
    </row>
    <row r="26" spans="1:17" x14ac:dyDescent="0.25">
      <c r="A26" s="1" t="s">
        <v>8</v>
      </c>
      <c r="B26" s="1">
        <f t="shared" si="3"/>
        <v>0.42395959956897689</v>
      </c>
      <c r="C26" s="1">
        <f t="shared" si="4"/>
        <v>42</v>
      </c>
      <c r="D26" s="1">
        <f t="shared" ref="D26" si="49">D9/SQRT(D9^2+4)</f>
        <v>0.55578011205843314</v>
      </c>
      <c r="E26" s="1">
        <f t="shared" si="6"/>
        <v>42</v>
      </c>
      <c r="F26" s="1">
        <f t="shared" ref="F26" si="50">F9/SQRT(F9^2+4)</f>
        <v>0.35915394688303731</v>
      </c>
      <c r="G26" s="1">
        <f t="shared" si="8"/>
        <v>42</v>
      </c>
      <c r="H26" s="1">
        <f t="shared" ref="H26" si="51">H9/SQRT(H9^2+4)</f>
        <v>0.41042035452609521</v>
      </c>
      <c r="I26" s="1">
        <f t="shared" si="10"/>
        <v>42</v>
      </c>
      <c r="J26" s="1">
        <f t="shared" ref="J26" si="52">J9/SQRT(J9^2+4)</f>
        <v>5.4812687795780246E-2</v>
      </c>
      <c r="K26" s="1">
        <f t="shared" si="12"/>
        <v>37</v>
      </c>
      <c r="L26" s="1">
        <f t="shared" ref="L26" si="53">L9/SQRT(L9^2+4)</f>
        <v>0.47305842379153074</v>
      </c>
      <c r="M26" s="1">
        <f t="shared" si="14"/>
        <v>42</v>
      </c>
      <c r="N26" s="1">
        <f t="shared" ref="N26" si="54">N9/SQRT(N9^2+4)</f>
        <v>0.38553003860697532</v>
      </c>
      <c r="O26" s="1">
        <f t="shared" si="16"/>
        <v>41</v>
      </c>
      <c r="P26" s="1">
        <f t="shared" si="17"/>
        <v>0.21985997101209562</v>
      </c>
      <c r="Q26" s="5">
        <f t="shared" si="18"/>
        <v>37</v>
      </c>
    </row>
    <row r="27" spans="1:17" x14ac:dyDescent="0.25">
      <c r="A27" s="4" t="s">
        <v>9</v>
      </c>
      <c r="B27" s="1">
        <f t="shared" si="3"/>
        <v>0.66690375799161772</v>
      </c>
      <c r="C27" s="1">
        <f t="shared" si="4"/>
        <v>54</v>
      </c>
      <c r="D27" s="1">
        <f t="shared" ref="D27" si="55">D10/SQRT(D10^2+4)</f>
        <v>0.83290073329233005</v>
      </c>
      <c r="E27" s="1">
        <f t="shared" si="6"/>
        <v>54</v>
      </c>
      <c r="F27" s="1">
        <f t="shared" ref="F27" si="56">F10/SQRT(F10^2+4)</f>
        <v>0.55661588524054795</v>
      </c>
      <c r="G27" s="1">
        <f t="shared" si="8"/>
        <v>54</v>
      </c>
      <c r="H27" s="1">
        <f t="shared" ref="H27" si="57">H10/SQRT(H10^2+4)</f>
        <v>0.30087593178991118</v>
      </c>
      <c r="I27" s="1">
        <f t="shared" si="10"/>
        <v>53</v>
      </c>
      <c r="J27" s="1">
        <f t="shared" ref="J27" si="58">J10/SQRT(J10^2+4)</f>
        <v>0.43781893259217053</v>
      </c>
      <c r="K27" s="1">
        <f t="shared" si="12"/>
        <v>54</v>
      </c>
      <c r="L27" s="1">
        <f t="shared" ref="L27" si="59">L10/SQRT(L10^2+4)</f>
        <v>0.58961150330983148</v>
      </c>
      <c r="M27" s="1">
        <f t="shared" si="14"/>
        <v>54</v>
      </c>
      <c r="N27" s="1">
        <f t="shared" ref="N27" si="60">N10/SQRT(N10^2+4)</f>
        <v>0.51763788119073184</v>
      </c>
      <c r="O27" s="1">
        <f t="shared" si="16"/>
        <v>53</v>
      </c>
      <c r="P27" s="1">
        <f t="shared" si="17"/>
        <v>0.45078057128025839</v>
      </c>
      <c r="Q27" s="5">
        <f t="shared" si="18"/>
        <v>53</v>
      </c>
    </row>
    <row r="28" spans="1:17" x14ac:dyDescent="0.25">
      <c r="A28" s="1" t="s">
        <v>10</v>
      </c>
      <c r="B28" s="1">
        <f t="shared" si="3"/>
        <v>9.776898390145719E-2</v>
      </c>
      <c r="C28" s="1">
        <f t="shared" si="4"/>
        <v>96</v>
      </c>
      <c r="D28" s="1">
        <f t="shared" ref="D28" si="61">D11/SQRT(D11^2+4)</f>
        <v>0.47970411711493138</v>
      </c>
      <c r="E28" s="1">
        <f t="shared" si="6"/>
        <v>96</v>
      </c>
      <c r="F28" s="1">
        <f t="shared" ref="F28" si="62">F11/SQRT(F11^2+4)</f>
        <v>0.50027759787462922</v>
      </c>
      <c r="G28" s="1">
        <f t="shared" si="8"/>
        <v>95</v>
      </c>
      <c r="H28" s="1">
        <f t="shared" ref="H28" si="63">H11/SQRT(H11^2+4)</f>
        <v>0.49372103959926039</v>
      </c>
      <c r="I28" s="1">
        <f t="shared" si="10"/>
        <v>95</v>
      </c>
      <c r="J28" s="1">
        <f t="shared" ref="J28" si="64">J11/SQRT(J11^2+4)</f>
        <v>4.1986412649904339E-2</v>
      </c>
      <c r="K28" s="1">
        <f t="shared" si="12"/>
        <v>95</v>
      </c>
      <c r="L28" s="1">
        <f t="shared" ref="L28" si="65">L11/SQRT(L11^2+4)</f>
        <v>0.62396784225139934</v>
      </c>
      <c r="M28" s="1">
        <f t="shared" si="14"/>
        <v>95</v>
      </c>
      <c r="N28" s="1">
        <f t="shared" ref="N28" si="66">N11/SQRT(N11^2+4)</f>
        <v>0.5459420677582687</v>
      </c>
      <c r="O28" s="1">
        <f t="shared" si="16"/>
        <v>93</v>
      </c>
      <c r="P28" s="1">
        <f t="shared" si="17"/>
        <v>0.31551263339776026</v>
      </c>
      <c r="Q28" s="5">
        <f t="shared" si="18"/>
        <v>94</v>
      </c>
    </row>
    <row r="29" spans="1:17" x14ac:dyDescent="0.25">
      <c r="A29" s="1" t="s">
        <v>11</v>
      </c>
      <c r="B29" s="1">
        <f t="shared" si="3"/>
        <v>0.6441666722519056</v>
      </c>
      <c r="C29" s="1">
        <f t="shared" si="4"/>
        <v>82</v>
      </c>
      <c r="D29" s="1">
        <f t="shared" ref="D29" si="67">D12/SQRT(D12^2+4)</f>
        <v>0.71149007401956033</v>
      </c>
      <c r="E29" s="1">
        <f t="shared" si="6"/>
        <v>82</v>
      </c>
      <c r="F29" s="1">
        <f t="shared" ref="F29" si="68">F12/SQRT(F12^2+4)</f>
        <v>0.54099328233097532</v>
      </c>
      <c r="G29" s="1">
        <f t="shared" si="8"/>
        <v>80</v>
      </c>
      <c r="H29" s="1">
        <f t="shared" ref="H29" si="69">H12/SQRT(H12^2+4)</f>
        <v>0.77097436373896011</v>
      </c>
      <c r="I29" s="1">
        <f t="shared" si="10"/>
        <v>81</v>
      </c>
      <c r="J29" s="1">
        <f t="shared" ref="J29" si="70">J12/SQRT(J12^2+4)</f>
        <v>0.37255956858783301</v>
      </c>
      <c r="K29" s="1">
        <f t="shared" si="12"/>
        <v>79</v>
      </c>
      <c r="L29" s="1">
        <f t="shared" ref="L29" si="71">L12/SQRT(L12^2+4)</f>
        <v>0.55024882333812797</v>
      </c>
      <c r="M29" s="1">
        <f t="shared" si="14"/>
        <v>79</v>
      </c>
      <c r="N29" s="1">
        <f t="shared" ref="N29" si="72">N12/SQRT(N12^2+4)</f>
        <v>0.60134851390001243</v>
      </c>
      <c r="O29" s="1">
        <f t="shared" si="16"/>
        <v>79</v>
      </c>
      <c r="P29" s="1">
        <f t="shared" si="17"/>
        <v>0.3751583407065659</v>
      </c>
      <c r="Q29" s="5">
        <f t="shared" si="18"/>
        <v>77</v>
      </c>
    </row>
    <row r="30" spans="1:17" x14ac:dyDescent="0.25">
      <c r="A30" s="1" t="s">
        <v>12</v>
      </c>
      <c r="B30" s="1">
        <f t="shared" si="3"/>
        <v>0.62898071573332959</v>
      </c>
      <c r="C30" s="1">
        <f t="shared" si="4"/>
        <v>732</v>
      </c>
      <c r="D30" s="1">
        <f t="shared" ref="D30" si="73">D13/SQRT(D13^2+4)</f>
        <v>0.73041627906411033</v>
      </c>
      <c r="E30" s="1">
        <f t="shared" si="6"/>
        <v>733</v>
      </c>
      <c r="F30" s="1">
        <f t="shared" ref="F30" si="74">F13/SQRT(F13^2+4)</f>
        <v>0.6078832218321325</v>
      </c>
      <c r="G30" s="1">
        <f t="shared" si="8"/>
        <v>731</v>
      </c>
      <c r="H30" s="1">
        <f t="shared" ref="H30" si="75">H13/SQRT(H13^2+4)</f>
        <v>0.53475435141779681</v>
      </c>
      <c r="I30" s="1">
        <f t="shared" si="10"/>
        <v>726</v>
      </c>
      <c r="J30" s="1">
        <f t="shared" ref="J30" si="76">J13/SQRT(J13^2+4)</f>
        <v>0.31680293850670194</v>
      </c>
      <c r="K30" s="1">
        <f t="shared" si="12"/>
        <v>719</v>
      </c>
      <c r="L30" s="1">
        <f t="shared" ref="L30" si="77">L13/SQRT(L13^2+4)</f>
        <v>0.50972969188443573</v>
      </c>
      <c r="M30" s="1">
        <f t="shared" si="14"/>
        <v>725</v>
      </c>
      <c r="N30" s="1">
        <f t="shared" ref="N30" si="78">N13/SQRT(N13^2+4)</f>
        <v>0.59941611186781241</v>
      </c>
      <c r="O30" s="1">
        <f t="shared" si="16"/>
        <v>722</v>
      </c>
      <c r="P30" s="1">
        <f t="shared" si="17"/>
        <v>0.38022954477201504</v>
      </c>
      <c r="Q30" s="5">
        <f t="shared" si="18"/>
        <v>717</v>
      </c>
    </row>
    <row r="31" spans="1:17" x14ac:dyDescent="0.25">
      <c r="A31" s="1" t="s">
        <v>13</v>
      </c>
      <c r="B31" s="1">
        <f t="shared" si="3"/>
        <v>0.42881878767044412</v>
      </c>
      <c r="C31" s="1">
        <f t="shared" si="4"/>
        <v>57</v>
      </c>
      <c r="D31" s="1">
        <f t="shared" ref="D31" si="79">D14/SQRT(D14^2+4)</f>
        <v>0.66666141255904121</v>
      </c>
      <c r="E31" s="1">
        <f t="shared" si="6"/>
        <v>57</v>
      </c>
      <c r="F31" s="1">
        <f t="shared" ref="F31" si="80">F14/SQRT(F14^2+4)</f>
        <v>0.58903823214660023</v>
      </c>
      <c r="G31" s="1">
        <f t="shared" si="8"/>
        <v>57</v>
      </c>
      <c r="H31" s="1">
        <f t="shared" ref="H31" si="81">H14/SQRT(H14^2+4)</f>
        <v>0.4262670958887505</v>
      </c>
      <c r="I31" s="1">
        <f t="shared" si="10"/>
        <v>57</v>
      </c>
      <c r="J31" s="1">
        <f t="shared" ref="J31" si="82">J14/SQRT(J14^2+4)</f>
        <v>0.24675447019456409</v>
      </c>
      <c r="K31" s="1">
        <f t="shared" si="12"/>
        <v>56</v>
      </c>
      <c r="L31" s="1">
        <f t="shared" ref="L31" si="83">L14/SQRT(L14^2+4)</f>
        <v>0.65080752152014665</v>
      </c>
      <c r="M31" s="1">
        <f t="shared" si="14"/>
        <v>56</v>
      </c>
      <c r="N31" s="1">
        <f t="shared" ref="N31" si="84">N14/SQRT(N14^2+4)</f>
        <v>0.69747668569129795</v>
      </c>
      <c r="O31" s="1">
        <f t="shared" si="16"/>
        <v>57</v>
      </c>
      <c r="P31" s="1">
        <f t="shared" si="17"/>
        <v>0.42188429342243999</v>
      </c>
      <c r="Q31" s="5">
        <f t="shared" si="18"/>
        <v>55</v>
      </c>
    </row>
    <row r="32" spans="1:17" x14ac:dyDescent="0.25">
      <c r="A32" s="1" t="s">
        <v>38</v>
      </c>
      <c r="B32" s="2">
        <f t="shared" si="3"/>
        <v>0.54481271176407364</v>
      </c>
      <c r="C32" s="1"/>
      <c r="D32" s="2">
        <f t="shared" ref="D32" si="85">D15/SQRT(D15^2+4)</f>
        <v>0.65841643808868511</v>
      </c>
      <c r="E32" s="6"/>
      <c r="F32" s="2">
        <f t="shared" ref="F32" si="86">F15/SQRT(F15^2+4)</f>
        <v>0.54703705811008685</v>
      </c>
      <c r="G32" s="6"/>
      <c r="H32" s="2">
        <f t="shared" ref="H32" si="87">H15/SQRT(H15^2+4)</f>
        <v>0.56196802831438064</v>
      </c>
      <c r="I32" s="6"/>
      <c r="J32" s="2">
        <f t="shared" ref="J32" si="88">J15/SQRT(J15^2+4)</f>
        <v>0.27272450786769314</v>
      </c>
      <c r="K32" s="6"/>
      <c r="L32" s="2">
        <f t="shared" ref="L32" si="89">L15/SQRT(L15^2+4)</f>
        <v>0.56584155657935775</v>
      </c>
      <c r="M32" s="6"/>
      <c r="N32" s="2">
        <f t="shared" ref="N32" si="90">N15/SQRT(N15^2+4)</f>
        <v>0.58701609506092089</v>
      </c>
      <c r="O32" s="6"/>
      <c r="P32" s="2">
        <f t="shared" si="17"/>
        <v>0.3796087177651144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6"/>
  <sheetViews>
    <sheetView tabSelected="1" topLeftCell="L1" workbookViewId="0">
      <selection activeCell="L5" sqref="L5"/>
    </sheetView>
  </sheetViews>
  <sheetFormatPr defaultColWidth="11" defaultRowHeight="15.75" x14ac:dyDescent="0.25"/>
  <cols>
    <col min="3" max="6" width="10.875" style="5"/>
    <col min="8" max="9" width="10.875" style="5"/>
    <col min="10" max="10" width="10.875" style="4"/>
    <col min="11" max="11" width="11.625" style="4" bestFit="1" customWidth="1"/>
    <col min="12" max="12" width="10.875" style="2"/>
    <col min="13" max="13" width="10.875" style="5"/>
    <col min="14" max="15" width="10.875" style="1"/>
    <col min="16" max="17" width="10.875" style="2"/>
    <col min="19" max="21" width="10.875" style="5"/>
    <col min="23" max="25" width="10.875" style="5"/>
    <col min="27" max="29" width="10.875" style="5"/>
    <col min="31" max="31" width="10.875" style="5"/>
  </cols>
  <sheetData>
    <row r="1" spans="1:31" x14ac:dyDescent="0.25">
      <c r="A1" s="1" t="s">
        <v>1</v>
      </c>
      <c r="B1" s="1" t="s">
        <v>39</v>
      </c>
      <c r="C1" s="5" t="s">
        <v>47</v>
      </c>
      <c r="E1" s="5" t="s">
        <v>48</v>
      </c>
      <c r="F1" s="5" t="s">
        <v>49</v>
      </c>
      <c r="G1" s="5" t="s">
        <v>50</v>
      </c>
      <c r="H1" s="5" t="s">
        <v>53</v>
      </c>
      <c r="J1" s="4" t="s">
        <v>51</v>
      </c>
      <c r="K1" s="4" t="s">
        <v>52</v>
      </c>
      <c r="L1" s="2" t="s">
        <v>54</v>
      </c>
      <c r="M1" s="6" t="s">
        <v>55</v>
      </c>
      <c r="P1" s="2" t="s">
        <v>57</v>
      </c>
      <c r="Q1" s="2" t="s">
        <v>56</v>
      </c>
    </row>
    <row r="2" spans="1:31" x14ac:dyDescent="0.25">
      <c r="A2" s="1" t="s">
        <v>0</v>
      </c>
      <c r="B2" s="1">
        <v>0.44421218095976733</v>
      </c>
      <c r="C2" s="5">
        <v>95</v>
      </c>
      <c r="D2" s="1">
        <f>(1+B2)/(1-B2)</f>
        <v>2.5984955615862879</v>
      </c>
      <c r="E2" s="1">
        <f>(LN(D2))/2</f>
        <v>0.47746632369864006</v>
      </c>
      <c r="F2" s="1">
        <f>1/SQRT(C2-3)</f>
        <v>0.10425720702853739</v>
      </c>
      <c r="G2">
        <f>1/F2^2</f>
        <v>91.999999999999986</v>
      </c>
      <c r="H2" s="5">
        <f>G2*E2</f>
        <v>43.926901780274882</v>
      </c>
      <c r="J2" s="4">
        <f>SUM(H2:H14)/G15</f>
        <v>0.64703440214265406</v>
      </c>
      <c r="K2" s="4">
        <f>1/SQRT(G15)</f>
        <v>2.303878387920457E-2</v>
      </c>
      <c r="L2" s="2">
        <f>((EXP(2*J2))-1)/((EXP(2*J2))+1)</f>
        <v>0.56967016053840391</v>
      </c>
      <c r="M2" s="2">
        <f>((EXP(2*K2))-1)/((EXP(2*K2))+1)</f>
        <v>2.3034708526503127E-2</v>
      </c>
      <c r="N2" s="1">
        <f>J2+(1.96*K2)</f>
        <v>0.69219041854589503</v>
      </c>
      <c r="O2" s="1">
        <f>J2-(1.96*K2)</f>
        <v>0.6018783857394131</v>
      </c>
      <c r="P2" s="2">
        <f>((EXP(2*N2))-1)/((EXP(2*N2))+1)</f>
        <v>0.59938732078503543</v>
      </c>
      <c r="Q2" s="2">
        <f>((EXP(2*O2))-1)/((EXP(2*O2))+1)</f>
        <v>0.53838483594838404</v>
      </c>
    </row>
    <row r="3" spans="1:31" x14ac:dyDescent="0.25">
      <c r="A3" s="1" t="s">
        <v>2</v>
      </c>
      <c r="B3" s="1">
        <v>0.54572391482003724</v>
      </c>
      <c r="C3" s="5">
        <v>173</v>
      </c>
      <c r="D3" s="1">
        <f t="shared" ref="D3:D66" si="0">(1+B3)/(1-B3)</f>
        <v>3.4026090416089025</v>
      </c>
      <c r="E3" s="1">
        <f t="shared" ref="E3:E66" si="1">(LN(D3))/2</f>
        <v>0.61227125126353987</v>
      </c>
      <c r="F3" s="1">
        <f t="shared" ref="F3:F13" si="2">1/SQRT(C3-3)</f>
        <v>7.6696498884737035E-2</v>
      </c>
      <c r="G3">
        <f t="shared" ref="G3:G66" si="3">1/F3^2</f>
        <v>170.00000000000003</v>
      </c>
      <c r="H3" s="5">
        <f t="shared" ref="H3:H66" si="4">G3*E3</f>
        <v>104.0861127148018</v>
      </c>
      <c r="L3" s="2" t="s">
        <v>59</v>
      </c>
      <c r="M3" s="2"/>
    </row>
    <row r="4" spans="1:31" x14ac:dyDescent="0.25">
      <c r="A4" s="1" t="s">
        <v>3</v>
      </c>
      <c r="B4" s="1">
        <v>0.55965315586074138</v>
      </c>
      <c r="C4" s="5">
        <v>133</v>
      </c>
      <c r="D4" s="1">
        <f t="shared" si="0"/>
        <v>3.5418742671118242</v>
      </c>
      <c r="E4" s="1">
        <f t="shared" si="1"/>
        <v>0.6323280205103825</v>
      </c>
      <c r="F4" s="1">
        <f t="shared" si="2"/>
        <v>8.7705801930702931E-2</v>
      </c>
      <c r="G4">
        <f t="shared" si="3"/>
        <v>129.99999999999997</v>
      </c>
      <c r="H4" s="5">
        <f t="shared" si="4"/>
        <v>82.202642666349703</v>
      </c>
      <c r="M4" s="2"/>
    </row>
    <row r="5" spans="1:31" x14ac:dyDescent="0.25">
      <c r="A5" s="1" t="s">
        <v>4</v>
      </c>
      <c r="B5" s="1">
        <v>0.52629721607144297</v>
      </c>
      <c r="C5" s="5">
        <v>228</v>
      </c>
      <c r="D5" s="1">
        <f t="shared" si="0"/>
        <v>3.2220566732021494</v>
      </c>
      <c r="E5" s="1">
        <f t="shared" si="1"/>
        <v>0.5850099370241526</v>
      </c>
      <c r="F5" s="1">
        <f t="shared" si="2"/>
        <v>6.6666666666666666E-2</v>
      </c>
      <c r="G5">
        <f t="shared" si="3"/>
        <v>225</v>
      </c>
      <c r="H5" s="5">
        <f t="shared" si="4"/>
        <v>131.62723583043433</v>
      </c>
      <c r="M5" s="2"/>
    </row>
    <row r="6" spans="1:31" x14ac:dyDescent="0.25">
      <c r="A6" s="1" t="s">
        <v>5</v>
      </c>
      <c r="B6" s="1">
        <v>0.54048310766551255</v>
      </c>
      <c r="C6" s="5">
        <v>67</v>
      </c>
      <c r="D6" s="1">
        <f t="shared" si="0"/>
        <v>3.352397122637611</v>
      </c>
      <c r="E6" s="1">
        <f t="shared" si="1"/>
        <v>0.60483782447150036</v>
      </c>
      <c r="F6" s="1">
        <f t="shared" si="2"/>
        <v>0.125</v>
      </c>
      <c r="G6">
        <f t="shared" si="3"/>
        <v>64</v>
      </c>
      <c r="H6" s="5">
        <f t="shared" si="4"/>
        <v>38.709620766176023</v>
      </c>
      <c r="M6" s="2"/>
    </row>
    <row r="7" spans="1:31" x14ac:dyDescent="0.25">
      <c r="A7" s="1" t="s">
        <v>6</v>
      </c>
      <c r="B7" s="1">
        <v>0.64133095230268888</v>
      </c>
      <c r="C7" s="5">
        <v>88</v>
      </c>
      <c r="D7" s="1">
        <f t="shared" si="0"/>
        <v>4.5761711606847237</v>
      </c>
      <c r="E7" s="1">
        <f t="shared" si="1"/>
        <v>0.76043132868688612</v>
      </c>
      <c r="F7" s="1">
        <f t="shared" si="2"/>
        <v>0.10846522890932808</v>
      </c>
      <c r="G7">
        <f t="shared" si="3"/>
        <v>85</v>
      </c>
      <c r="H7" s="5">
        <f t="shared" si="4"/>
        <v>64.636662938385314</v>
      </c>
      <c r="M7" s="2" t="s">
        <v>58</v>
      </c>
    </row>
    <row r="8" spans="1:31" x14ac:dyDescent="0.25">
      <c r="A8" s="1" t="s">
        <v>7</v>
      </c>
      <c r="B8" s="1">
        <v>0.68462545075030712</v>
      </c>
      <c r="C8" s="5">
        <v>76</v>
      </c>
      <c r="D8" s="1">
        <f t="shared" si="0"/>
        <v>5.3416658216656892</v>
      </c>
      <c r="E8" s="1">
        <f t="shared" si="1"/>
        <v>0.83776877797405047</v>
      </c>
      <c r="F8" s="1">
        <f t="shared" si="2"/>
        <v>0.11704114719613057</v>
      </c>
      <c r="G8">
        <f t="shared" si="3"/>
        <v>73</v>
      </c>
      <c r="H8" s="5">
        <f t="shared" si="4"/>
        <v>61.157120792105687</v>
      </c>
      <c r="M8" s="2"/>
    </row>
    <row r="9" spans="1:31" x14ac:dyDescent="0.25">
      <c r="A9" s="1" t="s">
        <v>8</v>
      </c>
      <c r="B9" s="1">
        <v>0.42395959956897689</v>
      </c>
      <c r="C9" s="5">
        <v>42</v>
      </c>
      <c r="D9" s="1">
        <f t="shared" si="0"/>
        <v>2.4719786988959402</v>
      </c>
      <c r="E9" s="1">
        <f t="shared" si="1"/>
        <v>0.45250946130341885</v>
      </c>
      <c r="F9" s="1">
        <f t="shared" si="2"/>
        <v>0.16012815380508713</v>
      </c>
      <c r="G9">
        <f t="shared" si="3"/>
        <v>39</v>
      </c>
      <c r="H9" s="5">
        <f t="shared" si="4"/>
        <v>17.647868990833334</v>
      </c>
      <c r="M9" s="2"/>
    </row>
    <row r="10" spans="1:31" x14ac:dyDescent="0.25">
      <c r="A10" s="1" t="s">
        <v>9</v>
      </c>
      <c r="B10" s="1">
        <v>0.6708146938169367</v>
      </c>
      <c r="C10" s="5">
        <v>54</v>
      </c>
      <c r="D10" s="1">
        <f t="shared" si="0"/>
        <v>5.0756053275591215</v>
      </c>
      <c r="E10" s="1">
        <f t="shared" si="1"/>
        <v>0.81222289709066009</v>
      </c>
      <c r="F10" s="1">
        <f t="shared" si="2"/>
        <v>0.14002800840280097</v>
      </c>
      <c r="G10">
        <f t="shared" si="3"/>
        <v>51.000000000000007</v>
      </c>
      <c r="H10" s="5">
        <f t="shared" si="4"/>
        <v>41.423367751623672</v>
      </c>
      <c r="M10" s="2"/>
    </row>
    <row r="11" spans="1:31" x14ac:dyDescent="0.25">
      <c r="A11" s="1" t="s">
        <v>10</v>
      </c>
      <c r="B11" s="1">
        <v>9.776898390145719E-2</v>
      </c>
      <c r="C11" s="5">
        <v>96</v>
      </c>
      <c r="D11" s="1">
        <f t="shared" si="0"/>
        <v>1.2167271622388534</v>
      </c>
      <c r="E11" s="1">
        <f t="shared" si="1"/>
        <v>9.8082300039136067E-2</v>
      </c>
      <c r="F11" s="1">
        <f t="shared" si="2"/>
        <v>0.10369516947304253</v>
      </c>
      <c r="G11">
        <f t="shared" si="3"/>
        <v>93.000000000000014</v>
      </c>
      <c r="H11" s="5">
        <f t="shared" si="4"/>
        <v>9.1216539036396558</v>
      </c>
      <c r="M11" s="2"/>
    </row>
    <row r="12" spans="1:31" x14ac:dyDescent="0.25">
      <c r="A12" s="1" t="s">
        <v>11</v>
      </c>
      <c r="B12" s="1">
        <v>0.6441666722519056</v>
      </c>
      <c r="C12" s="5">
        <v>82</v>
      </c>
      <c r="D12" s="1">
        <f t="shared" si="0"/>
        <v>4.6206089875197494</v>
      </c>
      <c r="E12" s="1">
        <f t="shared" si="1"/>
        <v>0.76526325594360778</v>
      </c>
      <c r="F12" s="1">
        <f t="shared" si="2"/>
        <v>0.1125087900926024</v>
      </c>
      <c r="G12">
        <f t="shared" si="3"/>
        <v>78.999999999999986</v>
      </c>
      <c r="H12" s="5">
        <f t="shared" si="4"/>
        <v>60.455797219545005</v>
      </c>
      <c r="M12" s="2"/>
    </row>
    <row r="13" spans="1:31" x14ac:dyDescent="0.25">
      <c r="A13" s="1" t="s">
        <v>12</v>
      </c>
      <c r="B13" s="1">
        <v>0.62898071573332959</v>
      </c>
      <c r="C13" s="5">
        <v>732</v>
      </c>
      <c r="D13" s="1">
        <f t="shared" si="0"/>
        <v>4.3905553829986328</v>
      </c>
      <c r="E13" s="1">
        <f t="shared" si="1"/>
        <v>0.73972786500943799</v>
      </c>
      <c r="F13" s="1">
        <f t="shared" si="2"/>
        <v>3.7037037037037035E-2</v>
      </c>
      <c r="G13">
        <f t="shared" si="3"/>
        <v>729</v>
      </c>
      <c r="H13" s="5">
        <f t="shared" si="4"/>
        <v>539.26161359188029</v>
      </c>
      <c r="M13" s="2"/>
    </row>
    <row r="14" spans="1:31" x14ac:dyDescent="0.25">
      <c r="A14" s="1" t="s">
        <v>13</v>
      </c>
      <c r="B14" s="1">
        <v>0.42881878767044412</v>
      </c>
      <c r="C14" s="5">
        <v>57</v>
      </c>
      <c r="D14" s="1">
        <f t="shared" si="0"/>
        <v>2.501515730608546</v>
      </c>
      <c r="E14" s="1">
        <f t="shared" si="1"/>
        <v>0.45844842019834325</v>
      </c>
      <c r="F14" s="1">
        <f>1/SQRT(C14-3)</f>
        <v>0.13608276348795434</v>
      </c>
      <c r="G14">
        <f t="shared" si="3"/>
        <v>54</v>
      </c>
      <c r="H14" s="5">
        <f t="shared" si="4"/>
        <v>24.756214690710536</v>
      </c>
      <c r="M14" s="2"/>
    </row>
    <row r="15" spans="1:31" x14ac:dyDescent="0.25">
      <c r="C15"/>
      <c r="D15" s="1"/>
      <c r="E15" s="1"/>
      <c r="F15" s="1"/>
      <c r="G15" s="7">
        <f>SUM(G2:G14)</f>
        <v>1884</v>
      </c>
      <c r="I15"/>
      <c r="M15" s="2"/>
      <c r="S15"/>
      <c r="T15"/>
      <c r="U15"/>
      <c r="W15"/>
      <c r="X15"/>
      <c r="Y15"/>
      <c r="AA15"/>
      <c r="AB15"/>
      <c r="AC15"/>
      <c r="AE15"/>
    </row>
    <row r="16" spans="1:31" x14ac:dyDescent="0.25">
      <c r="D16" s="1"/>
      <c r="E16" s="1"/>
      <c r="F16" s="1"/>
      <c r="M16" s="2"/>
    </row>
    <row r="17" spans="1:17" x14ac:dyDescent="0.25">
      <c r="A17" s="1" t="s">
        <v>1</v>
      </c>
      <c r="B17" s="1" t="s">
        <v>40</v>
      </c>
      <c r="C17" s="5" t="s">
        <v>47</v>
      </c>
      <c r="D17" s="1"/>
      <c r="E17" s="5" t="s">
        <v>48</v>
      </c>
      <c r="F17" s="5" t="s">
        <v>49</v>
      </c>
      <c r="G17" t="s">
        <v>50</v>
      </c>
      <c r="M17" s="2"/>
    </row>
    <row r="18" spans="1:17" x14ac:dyDescent="0.25">
      <c r="A18" s="1" t="s">
        <v>0</v>
      </c>
      <c r="B18" s="1">
        <v>0.65077479636967128</v>
      </c>
      <c r="C18" s="5">
        <v>95</v>
      </c>
      <c r="D18" s="1">
        <f t="shared" si="0"/>
        <v>4.7269635158323053</v>
      </c>
      <c r="E18" s="1">
        <f t="shared" si="1"/>
        <v>0.77664151676566262</v>
      </c>
      <c r="F18" s="1">
        <f t="shared" ref="F18:F78" si="5">1/SQRT(C18-3)</f>
        <v>0.10425720702853739</v>
      </c>
      <c r="G18">
        <f t="shared" si="3"/>
        <v>91.999999999999986</v>
      </c>
      <c r="H18" s="5">
        <f t="shared" si="4"/>
        <v>71.451019542440946</v>
      </c>
      <c r="J18" s="4">
        <f>SUM(H18:H30)/G31</f>
        <v>0.82797781410686488</v>
      </c>
      <c r="K18" s="4">
        <f>1/SQRT(G31)</f>
        <v>2.303878387920457E-2</v>
      </c>
      <c r="L18" s="2">
        <f t="shared" ref="L18:L66" si="6">((EXP(2*J18))-1)/((EXP(2*J18))+1)</f>
        <v>0.67938869382089517</v>
      </c>
      <c r="M18" s="2">
        <f t="shared" ref="M18:M66" si="7">((EXP(2*K18))-1)/((EXP(2*K18))+1)</f>
        <v>2.3034708526503127E-2</v>
      </c>
      <c r="N18" s="1">
        <f t="shared" ref="N18:N66" si="8">J18+(1.96*K18)</f>
        <v>0.87313383051010585</v>
      </c>
      <c r="O18" s="1">
        <f t="shared" ref="O18:O66" si="9">J18-(1.96*K18)</f>
        <v>0.78282179770362392</v>
      </c>
      <c r="P18" s="2">
        <f t="shared" ref="P18:P66" si="10">((EXP(2*N18))-1)/((EXP(2*N18))+1)</f>
        <v>0.70296285257878099</v>
      </c>
      <c r="Q18" s="2">
        <f t="shared" ref="Q18:Q66" si="11">((EXP(2*O18))-1)/((EXP(2*O18))+1)</f>
        <v>0.65432336249389289</v>
      </c>
    </row>
    <row r="19" spans="1:17" x14ac:dyDescent="0.25">
      <c r="A19" s="1" t="s">
        <v>2</v>
      </c>
      <c r="B19" s="1">
        <v>0.67307141085697553</v>
      </c>
      <c r="C19" s="5">
        <v>173</v>
      </c>
      <c r="D19" s="1">
        <f t="shared" si="0"/>
        <v>5.1175439114779939</v>
      </c>
      <c r="E19" s="1">
        <f t="shared" si="1"/>
        <v>0.81633730958340511</v>
      </c>
      <c r="F19" s="1">
        <f t="shared" si="5"/>
        <v>7.6696498884737035E-2</v>
      </c>
      <c r="G19">
        <f t="shared" si="3"/>
        <v>170.00000000000003</v>
      </c>
      <c r="H19" s="5">
        <f t="shared" si="4"/>
        <v>138.77734262917889</v>
      </c>
      <c r="L19" s="2" t="s">
        <v>59</v>
      </c>
      <c r="M19" s="2"/>
    </row>
    <row r="20" spans="1:17" x14ac:dyDescent="0.25">
      <c r="A20" s="1" t="s">
        <v>3</v>
      </c>
      <c r="B20" s="1">
        <v>0.68573729939544725</v>
      </c>
      <c r="C20" s="5">
        <v>132</v>
      </c>
      <c r="D20" s="1">
        <f t="shared" si="0"/>
        <v>5.3641023772549667</v>
      </c>
      <c r="E20" s="1">
        <f t="shared" si="1"/>
        <v>0.83986452561407787</v>
      </c>
      <c r="F20" s="1">
        <f t="shared" si="5"/>
        <v>8.8045090632562384E-2</v>
      </c>
      <c r="G20">
        <f t="shared" si="3"/>
        <v>129</v>
      </c>
      <c r="H20" s="5">
        <f t="shared" si="4"/>
        <v>108.34252380421604</v>
      </c>
      <c r="M20" s="2"/>
    </row>
    <row r="21" spans="1:17" x14ac:dyDescent="0.25">
      <c r="A21" s="1" t="s">
        <v>4</v>
      </c>
      <c r="B21" s="1">
        <v>0.64316059631013078</v>
      </c>
      <c r="C21" s="5">
        <v>228</v>
      </c>
      <c r="D21" s="1">
        <f t="shared" si="0"/>
        <v>4.6047621964367176</v>
      </c>
      <c r="E21" s="1">
        <f t="shared" si="1"/>
        <v>0.76354551403891013</v>
      </c>
      <c r="F21" s="1">
        <f t="shared" si="5"/>
        <v>6.6666666666666666E-2</v>
      </c>
      <c r="G21">
        <f t="shared" si="3"/>
        <v>225</v>
      </c>
      <c r="H21" s="5">
        <f t="shared" si="4"/>
        <v>171.79774065875478</v>
      </c>
      <c r="M21" s="2"/>
    </row>
    <row r="22" spans="1:17" x14ac:dyDescent="0.25">
      <c r="A22" s="1" t="s">
        <v>5</v>
      </c>
      <c r="B22" s="1">
        <v>0.58619608398407064</v>
      </c>
      <c r="C22" s="5">
        <v>67</v>
      </c>
      <c r="D22" s="1">
        <f t="shared" si="0"/>
        <v>3.8332070398362541</v>
      </c>
      <c r="E22" s="1">
        <f t="shared" si="1"/>
        <v>0.67185090001434311</v>
      </c>
      <c r="F22" s="1">
        <f t="shared" si="5"/>
        <v>0.125</v>
      </c>
      <c r="G22">
        <f t="shared" si="3"/>
        <v>64</v>
      </c>
      <c r="H22" s="5">
        <f t="shared" si="4"/>
        <v>42.998457600917959</v>
      </c>
      <c r="M22" s="2"/>
    </row>
    <row r="23" spans="1:17" x14ac:dyDescent="0.25">
      <c r="A23" s="1" t="s">
        <v>6</v>
      </c>
      <c r="B23" s="1">
        <v>0.46034273912371909</v>
      </c>
      <c r="C23" s="5">
        <v>88</v>
      </c>
      <c r="D23" s="1">
        <f t="shared" si="0"/>
        <v>2.7060559451242332</v>
      </c>
      <c r="E23" s="1">
        <f t="shared" si="1"/>
        <v>0.49774610200399572</v>
      </c>
      <c r="F23" s="1">
        <f t="shared" si="5"/>
        <v>0.10846522890932808</v>
      </c>
      <c r="G23">
        <f t="shared" si="3"/>
        <v>85</v>
      </c>
      <c r="H23" s="5">
        <f t="shared" si="4"/>
        <v>42.308418670339634</v>
      </c>
      <c r="M23" s="2"/>
    </row>
    <row r="24" spans="1:17" x14ac:dyDescent="0.25">
      <c r="A24" s="1" t="s">
        <v>7</v>
      </c>
      <c r="B24" s="1">
        <v>0.66246163126378332</v>
      </c>
      <c r="C24" s="5">
        <v>76</v>
      </c>
      <c r="D24" s="1">
        <f t="shared" si="0"/>
        <v>4.9252523127614651</v>
      </c>
      <c r="E24" s="1">
        <f t="shared" si="1"/>
        <v>0.79718775216467241</v>
      </c>
      <c r="F24" s="1">
        <f t="shared" si="5"/>
        <v>0.11704114719613057</v>
      </c>
      <c r="G24">
        <f t="shared" si="3"/>
        <v>73</v>
      </c>
      <c r="H24" s="5">
        <f t="shared" si="4"/>
        <v>58.194705908021085</v>
      </c>
      <c r="M24" s="2"/>
    </row>
    <row r="25" spans="1:17" x14ac:dyDescent="0.25">
      <c r="A25" s="1" t="s">
        <v>8</v>
      </c>
      <c r="B25" s="1">
        <v>0.55578011205843314</v>
      </c>
      <c r="C25" s="5">
        <v>42</v>
      </c>
      <c r="D25" s="1">
        <f t="shared" si="0"/>
        <v>3.5022747839310653</v>
      </c>
      <c r="E25" s="1">
        <f t="shared" si="1"/>
        <v>0.62670634782149137</v>
      </c>
      <c r="F25" s="1">
        <f t="shared" si="5"/>
        <v>0.16012815380508713</v>
      </c>
      <c r="G25">
        <f t="shared" si="3"/>
        <v>39</v>
      </c>
      <c r="H25" s="5">
        <f t="shared" si="4"/>
        <v>24.441547565038164</v>
      </c>
      <c r="M25" s="2"/>
    </row>
    <row r="26" spans="1:17" x14ac:dyDescent="0.25">
      <c r="A26" s="1" t="s">
        <v>9</v>
      </c>
      <c r="B26" s="1">
        <v>0.83</v>
      </c>
      <c r="C26" s="5">
        <v>54</v>
      </c>
      <c r="D26" s="1">
        <f t="shared" si="0"/>
        <v>10.764705882352938</v>
      </c>
      <c r="E26" s="1">
        <f t="shared" si="1"/>
        <v>1.1881364043926024</v>
      </c>
      <c r="F26" s="1">
        <f t="shared" si="5"/>
        <v>0.14002800840280097</v>
      </c>
      <c r="G26">
        <f t="shared" si="3"/>
        <v>51.000000000000007</v>
      </c>
      <c r="H26" s="5">
        <f t="shared" si="4"/>
        <v>60.594956624022728</v>
      </c>
      <c r="M26" s="2"/>
    </row>
    <row r="27" spans="1:17" x14ac:dyDescent="0.25">
      <c r="A27" s="1" t="s">
        <v>10</v>
      </c>
      <c r="B27" s="1">
        <v>0.47970411711493138</v>
      </c>
      <c r="C27" s="5">
        <v>96</v>
      </c>
      <c r="D27" s="1">
        <f t="shared" si="0"/>
        <v>2.8439666078268635</v>
      </c>
      <c r="E27" s="1">
        <f t="shared" si="1"/>
        <v>0.5225998853008117</v>
      </c>
      <c r="F27" s="1">
        <f t="shared" si="5"/>
        <v>0.10369516947304253</v>
      </c>
      <c r="G27">
        <f t="shared" si="3"/>
        <v>93.000000000000014</v>
      </c>
      <c r="H27" s="5">
        <f t="shared" si="4"/>
        <v>48.601789332975493</v>
      </c>
      <c r="M27" s="2"/>
    </row>
    <row r="28" spans="1:17" x14ac:dyDescent="0.25">
      <c r="A28" s="1" t="s">
        <v>11</v>
      </c>
      <c r="B28" s="1">
        <v>0.71149007401956033</v>
      </c>
      <c r="C28" s="5">
        <v>82</v>
      </c>
      <c r="D28" s="1">
        <f t="shared" si="0"/>
        <v>5.9321705074909463</v>
      </c>
      <c r="E28" s="1">
        <f t="shared" si="1"/>
        <v>0.89019508376971124</v>
      </c>
      <c r="F28" s="1">
        <f t="shared" si="5"/>
        <v>0.1125087900926024</v>
      </c>
      <c r="G28">
        <f t="shared" si="3"/>
        <v>78.999999999999986</v>
      </c>
      <c r="H28" s="5">
        <f t="shared" si="4"/>
        <v>70.325411617807177</v>
      </c>
      <c r="M28" s="2"/>
    </row>
    <row r="29" spans="1:17" x14ac:dyDescent="0.25">
      <c r="A29" s="1" t="s">
        <v>12</v>
      </c>
      <c r="B29" s="1">
        <v>0.73041627906411033</v>
      </c>
      <c r="C29" s="5">
        <v>733</v>
      </c>
      <c r="D29" s="1">
        <f t="shared" si="0"/>
        <v>6.4188455929637707</v>
      </c>
      <c r="E29" s="1">
        <f t="shared" si="1"/>
        <v>0.9296191436766319</v>
      </c>
      <c r="F29" s="1">
        <f t="shared" si="5"/>
        <v>3.7011660509880265E-2</v>
      </c>
      <c r="G29">
        <f t="shared" si="3"/>
        <v>729.99999999999989</v>
      </c>
      <c r="H29" s="5">
        <f t="shared" si="4"/>
        <v>678.62197488394122</v>
      </c>
      <c r="M29" s="2"/>
    </row>
    <row r="30" spans="1:17" x14ac:dyDescent="0.25">
      <c r="A30" s="1" t="s">
        <v>13</v>
      </c>
      <c r="B30" s="1">
        <v>0.66666141255904121</v>
      </c>
      <c r="C30" s="5">
        <v>57</v>
      </c>
      <c r="D30" s="1">
        <f t="shared" si="0"/>
        <v>4.9999054275534229</v>
      </c>
      <c r="E30" s="1">
        <f t="shared" si="1"/>
        <v>0.80470949888295185</v>
      </c>
      <c r="F30" s="1">
        <f t="shared" si="5"/>
        <v>0.13608276348795434</v>
      </c>
      <c r="G30">
        <f t="shared" si="3"/>
        <v>54</v>
      </c>
      <c r="H30" s="5">
        <f t="shared" si="4"/>
        <v>43.454312939679397</v>
      </c>
      <c r="M30" s="2"/>
    </row>
    <row r="31" spans="1:17" x14ac:dyDescent="0.25">
      <c r="D31" s="1"/>
      <c r="E31" s="1"/>
      <c r="F31" s="1"/>
      <c r="G31" s="7">
        <f>SUM(G18:G30)</f>
        <v>1884</v>
      </c>
      <c r="M31" s="2"/>
    </row>
    <row r="32" spans="1:17" x14ac:dyDescent="0.25">
      <c r="D32" s="1"/>
      <c r="E32" s="1"/>
      <c r="F32" s="1"/>
      <c r="M32" s="2"/>
    </row>
    <row r="33" spans="1:17" x14ac:dyDescent="0.25">
      <c r="A33" s="1" t="s">
        <v>1</v>
      </c>
      <c r="B33" s="1" t="s">
        <v>41</v>
      </c>
      <c r="C33" s="5" t="s">
        <v>47</v>
      </c>
      <c r="D33" s="1"/>
      <c r="E33" s="5" t="s">
        <v>48</v>
      </c>
      <c r="F33" s="5" t="s">
        <v>49</v>
      </c>
      <c r="G33" t="s">
        <v>50</v>
      </c>
      <c r="M33" s="2"/>
    </row>
    <row r="34" spans="1:17" x14ac:dyDescent="0.25">
      <c r="A34" s="1" t="s">
        <v>0</v>
      </c>
      <c r="B34" s="1">
        <v>0.5090473634790148</v>
      </c>
      <c r="C34" s="5">
        <v>95</v>
      </c>
      <c r="D34" s="1">
        <f t="shared" si="0"/>
        <v>3.0737127193623133</v>
      </c>
      <c r="E34" s="1">
        <f t="shared" si="1"/>
        <v>0.56144309287986316</v>
      </c>
      <c r="F34" s="1">
        <f t="shared" si="5"/>
        <v>0.10425720702853739</v>
      </c>
      <c r="G34">
        <f t="shared" si="3"/>
        <v>91.999999999999986</v>
      </c>
      <c r="H34" s="5">
        <f t="shared" si="4"/>
        <v>51.652764544947402</v>
      </c>
      <c r="J34" s="4">
        <f>SUM(H34:H46)/G47</f>
        <v>0.66502488284973915</v>
      </c>
      <c r="K34" s="4">
        <f>1/SQRT(G47)</f>
        <v>2.3112508176051212E-2</v>
      </c>
      <c r="L34" s="2">
        <f t="shared" si="6"/>
        <v>0.58169773299598904</v>
      </c>
      <c r="M34" s="2">
        <f t="shared" si="7"/>
        <v>2.3108393580133547E-2</v>
      </c>
      <c r="N34" s="1">
        <f t="shared" si="8"/>
        <v>0.71032539887479951</v>
      </c>
      <c r="O34" s="1">
        <f t="shared" si="9"/>
        <v>0.6197243668246788</v>
      </c>
      <c r="P34" s="2">
        <f t="shared" si="10"/>
        <v>0.61088084138122012</v>
      </c>
      <c r="Q34" s="2">
        <f t="shared" si="11"/>
        <v>0.55093608761066004</v>
      </c>
    </row>
    <row r="35" spans="1:17" x14ac:dyDescent="0.25">
      <c r="A35" s="1" t="s">
        <v>2</v>
      </c>
      <c r="B35" s="1">
        <v>0.58002391322922708</v>
      </c>
      <c r="C35" s="5">
        <v>169</v>
      </c>
      <c r="D35" s="1">
        <f t="shared" si="0"/>
        <v>3.7621759023904131</v>
      </c>
      <c r="E35" s="1">
        <f t="shared" si="1"/>
        <v>0.66249874373263407</v>
      </c>
      <c r="F35" s="1">
        <f t="shared" si="5"/>
        <v>7.7615052570633281E-2</v>
      </c>
      <c r="G35">
        <f t="shared" si="3"/>
        <v>166.00000000000003</v>
      </c>
      <c r="H35" s="5">
        <f t="shared" si="4"/>
        <v>109.97479145961728</v>
      </c>
      <c r="L35" s="2" t="s">
        <v>59</v>
      </c>
      <c r="M35" s="2"/>
    </row>
    <row r="36" spans="1:17" x14ac:dyDescent="0.25">
      <c r="A36" s="1" t="s">
        <v>3</v>
      </c>
      <c r="B36" s="1">
        <v>0.64595152530673128</v>
      </c>
      <c r="C36" s="5">
        <v>131</v>
      </c>
      <c r="D36" s="1">
        <f t="shared" si="0"/>
        <v>4.6489439807153747</v>
      </c>
      <c r="E36" s="1">
        <f t="shared" si="1"/>
        <v>0.76832004644326046</v>
      </c>
      <c r="F36" s="1">
        <f t="shared" si="5"/>
        <v>8.8388347648318433E-2</v>
      </c>
      <c r="G36">
        <f t="shared" si="3"/>
        <v>128.00000000000003</v>
      </c>
      <c r="H36" s="5">
        <f t="shared" si="4"/>
        <v>98.344965944737368</v>
      </c>
      <c r="M36" s="2"/>
    </row>
    <row r="37" spans="1:17" x14ac:dyDescent="0.25">
      <c r="A37" s="1" t="s">
        <v>4</v>
      </c>
      <c r="B37" s="1">
        <v>0.64303235415964299</v>
      </c>
      <c r="C37" s="5">
        <v>227</v>
      </c>
      <c r="D37" s="1">
        <f t="shared" si="0"/>
        <v>4.6027486616936697</v>
      </c>
      <c r="E37" s="1">
        <f t="shared" si="1"/>
        <v>0.76332683009640168</v>
      </c>
      <c r="F37" s="1">
        <f t="shared" si="5"/>
        <v>6.6815310478106099E-2</v>
      </c>
      <c r="G37">
        <f t="shared" si="3"/>
        <v>223.99999999999997</v>
      </c>
      <c r="H37" s="5">
        <f t="shared" si="4"/>
        <v>170.98520994159395</v>
      </c>
      <c r="M37" s="2"/>
    </row>
    <row r="38" spans="1:17" x14ac:dyDescent="0.25">
      <c r="A38" s="1" t="s">
        <v>5</v>
      </c>
      <c r="B38" s="1">
        <v>0.5341711203897026</v>
      </c>
      <c r="C38" s="5">
        <v>67</v>
      </c>
      <c r="D38" s="1">
        <f t="shared" si="0"/>
        <v>3.293422085966756</v>
      </c>
      <c r="E38" s="1">
        <f t="shared" si="1"/>
        <v>0.5959635859543666</v>
      </c>
      <c r="F38" s="1">
        <f t="shared" si="5"/>
        <v>0.125</v>
      </c>
      <c r="G38">
        <f t="shared" si="3"/>
        <v>64</v>
      </c>
      <c r="H38" s="5">
        <f t="shared" si="4"/>
        <v>38.141669501079463</v>
      </c>
      <c r="M38" s="2"/>
    </row>
    <row r="39" spans="1:17" x14ac:dyDescent="0.25">
      <c r="A39" s="1" t="s">
        <v>6</v>
      </c>
      <c r="B39" s="1">
        <v>0.41644737939507692</v>
      </c>
      <c r="C39" s="5">
        <v>88</v>
      </c>
      <c r="D39" s="1">
        <f t="shared" si="0"/>
        <v>2.4272830407766097</v>
      </c>
      <c r="E39" s="1">
        <f t="shared" si="1"/>
        <v>0.44338627080394821</v>
      </c>
      <c r="F39" s="1">
        <f t="shared" si="5"/>
        <v>0.10846522890932808</v>
      </c>
      <c r="G39">
        <f t="shared" si="3"/>
        <v>85</v>
      </c>
      <c r="H39" s="5">
        <f t="shared" si="4"/>
        <v>37.687833018335596</v>
      </c>
      <c r="M39" s="2"/>
    </row>
    <row r="40" spans="1:17" x14ac:dyDescent="0.25">
      <c r="A40" s="1" t="s">
        <v>7</v>
      </c>
      <c r="B40" s="1">
        <v>0.542479274103572</v>
      </c>
      <c r="C40" s="5">
        <v>75</v>
      </c>
      <c r="D40" s="1">
        <f t="shared" si="0"/>
        <v>3.3713866646835871</v>
      </c>
      <c r="E40" s="1">
        <f t="shared" si="1"/>
        <v>0.60766206646613286</v>
      </c>
      <c r="F40" s="1">
        <f t="shared" si="5"/>
        <v>0.11785113019775793</v>
      </c>
      <c r="G40">
        <f t="shared" si="3"/>
        <v>71.999999999999986</v>
      </c>
      <c r="H40" s="5">
        <f t="shared" si="4"/>
        <v>43.751668785561556</v>
      </c>
      <c r="M40" s="2"/>
    </row>
    <row r="41" spans="1:17" x14ac:dyDescent="0.25">
      <c r="A41" s="1" t="s">
        <v>8</v>
      </c>
      <c r="B41" s="1">
        <v>0.35915394688303731</v>
      </c>
      <c r="C41" s="5">
        <v>42</v>
      </c>
      <c r="D41" s="1">
        <f t="shared" si="0"/>
        <v>2.1208743352203721</v>
      </c>
      <c r="E41" s="1">
        <f t="shared" si="1"/>
        <v>0.37591421296749578</v>
      </c>
      <c r="F41" s="1">
        <f t="shared" si="5"/>
        <v>0.16012815380508713</v>
      </c>
      <c r="G41">
        <f t="shared" si="3"/>
        <v>39</v>
      </c>
      <c r="H41" s="5">
        <f t="shared" si="4"/>
        <v>14.660654305732335</v>
      </c>
      <c r="M41" s="2"/>
    </row>
    <row r="42" spans="1:17" x14ac:dyDescent="0.25">
      <c r="A42" s="1" t="s">
        <v>9</v>
      </c>
      <c r="B42" s="1">
        <v>0.561268763102303</v>
      </c>
      <c r="C42" s="5">
        <v>54</v>
      </c>
      <c r="D42" s="1">
        <f t="shared" si="0"/>
        <v>3.5585995064818201</v>
      </c>
      <c r="E42" s="1">
        <f t="shared" si="1"/>
        <v>0.63468353520367438</v>
      </c>
      <c r="F42" s="1">
        <f t="shared" si="5"/>
        <v>0.14002800840280097</v>
      </c>
      <c r="G42">
        <f t="shared" si="3"/>
        <v>51.000000000000007</v>
      </c>
      <c r="H42" s="5">
        <f t="shared" si="4"/>
        <v>32.3688602953874</v>
      </c>
      <c r="M42" s="2"/>
    </row>
    <row r="43" spans="1:17" x14ac:dyDescent="0.25">
      <c r="A43" s="1" t="s">
        <v>10</v>
      </c>
      <c r="B43" s="1">
        <v>0.50027759787462922</v>
      </c>
      <c r="C43" s="5">
        <v>95</v>
      </c>
      <c r="D43" s="1">
        <f t="shared" si="0"/>
        <v>3.0022220166512334</v>
      </c>
      <c r="E43" s="1">
        <f t="shared" si="1"/>
        <v>0.54967634336144444</v>
      </c>
      <c r="F43" s="1">
        <f t="shared" si="5"/>
        <v>0.10425720702853739</v>
      </c>
      <c r="G43">
        <f t="shared" si="3"/>
        <v>91.999999999999986</v>
      </c>
      <c r="H43" s="5">
        <f t="shared" si="4"/>
        <v>50.570223589252883</v>
      </c>
      <c r="M43" s="2"/>
    </row>
    <row r="44" spans="1:17" x14ac:dyDescent="0.25">
      <c r="A44" s="1" t="s">
        <v>11</v>
      </c>
      <c r="B44" s="1">
        <v>0.54099328233097532</v>
      </c>
      <c r="C44" s="5">
        <v>80</v>
      </c>
      <c r="D44" s="1">
        <f t="shared" si="0"/>
        <v>3.3572347048788447</v>
      </c>
      <c r="E44" s="1">
        <f t="shared" si="1"/>
        <v>0.60555881531031674</v>
      </c>
      <c r="F44" s="1">
        <f t="shared" si="5"/>
        <v>0.11396057645963795</v>
      </c>
      <c r="G44">
        <f t="shared" si="3"/>
        <v>77</v>
      </c>
      <c r="H44" s="5">
        <f t="shared" si="4"/>
        <v>46.628028778894389</v>
      </c>
      <c r="M44" s="2"/>
    </row>
    <row r="45" spans="1:17" x14ac:dyDescent="0.25">
      <c r="A45" s="1" t="s">
        <v>12</v>
      </c>
      <c r="B45" s="1">
        <v>0.6078832218321325</v>
      </c>
      <c r="C45" s="5">
        <v>731</v>
      </c>
      <c r="D45" s="1">
        <f t="shared" si="0"/>
        <v>4.1005213532173528</v>
      </c>
      <c r="E45" s="1">
        <f t="shared" si="1"/>
        <v>0.70555706247375327</v>
      </c>
      <c r="F45" s="1">
        <f t="shared" si="5"/>
        <v>3.7062465833055058E-2</v>
      </c>
      <c r="G45">
        <f t="shared" si="3"/>
        <v>728.00000000000011</v>
      </c>
      <c r="H45" s="5">
        <f t="shared" si="4"/>
        <v>513.64554148089246</v>
      </c>
      <c r="M45" s="2"/>
    </row>
    <row r="46" spans="1:17" x14ac:dyDescent="0.25">
      <c r="A46" s="1" t="s">
        <v>13</v>
      </c>
      <c r="B46" s="1">
        <v>0.58903823214660023</v>
      </c>
      <c r="C46" s="5">
        <v>57</v>
      </c>
      <c r="D46" s="1">
        <f t="shared" si="0"/>
        <v>3.8666327538123921</v>
      </c>
      <c r="E46" s="1">
        <f t="shared" si="1"/>
        <v>0.67619201941999352</v>
      </c>
      <c r="F46" s="1">
        <f t="shared" si="5"/>
        <v>0.13608276348795434</v>
      </c>
      <c r="G46">
        <f t="shared" si="3"/>
        <v>54</v>
      </c>
      <c r="H46" s="5">
        <f t="shared" si="4"/>
        <v>36.514369048679647</v>
      </c>
      <c r="M46" s="2"/>
    </row>
    <row r="47" spans="1:17" x14ac:dyDescent="0.25">
      <c r="D47" s="1"/>
      <c r="E47" s="1"/>
      <c r="F47" s="1"/>
      <c r="G47" s="7">
        <f>SUM(G34:G46)</f>
        <v>1872</v>
      </c>
      <c r="M47" s="2"/>
    </row>
    <row r="48" spans="1:17" x14ac:dyDescent="0.25">
      <c r="D48" s="1"/>
      <c r="E48" s="1"/>
      <c r="F48" s="1"/>
      <c r="M48" s="2"/>
    </row>
    <row r="49" spans="1:17" x14ac:dyDescent="0.25">
      <c r="A49" s="1" t="s">
        <v>1</v>
      </c>
      <c r="B49" s="1" t="s">
        <v>42</v>
      </c>
      <c r="C49" s="5" t="s">
        <v>47</v>
      </c>
      <c r="D49" s="1"/>
      <c r="E49" s="5" t="s">
        <v>48</v>
      </c>
      <c r="F49" s="5" t="s">
        <v>49</v>
      </c>
      <c r="G49" t="s">
        <v>50</v>
      </c>
      <c r="M49" s="2"/>
    </row>
    <row r="50" spans="1:17" x14ac:dyDescent="0.25">
      <c r="A50" s="1" t="s">
        <v>0</v>
      </c>
      <c r="B50" s="1">
        <v>0.51359189502499814</v>
      </c>
      <c r="C50" s="5">
        <v>95</v>
      </c>
      <c r="D50" s="1">
        <f t="shared" si="0"/>
        <v>3.1117735900037822</v>
      </c>
      <c r="E50" s="1">
        <f t="shared" si="1"/>
        <v>0.56759642490731466</v>
      </c>
      <c r="F50" s="1">
        <f t="shared" si="5"/>
        <v>0.10425720702853739</v>
      </c>
      <c r="G50">
        <f t="shared" si="3"/>
        <v>91.999999999999986</v>
      </c>
      <c r="H50" s="5">
        <f t="shared" si="4"/>
        <v>52.218871091472941</v>
      </c>
      <c r="J50" s="4">
        <f>SUM(H50:H62)/G63</f>
        <v>0.63681543753062941</v>
      </c>
      <c r="K50" s="4">
        <f>1/SQRT(G63)</f>
        <v>2.3168268228563865E-2</v>
      </c>
      <c r="L50" s="2">
        <f t="shared" si="6"/>
        <v>0.56272732048718976</v>
      </c>
      <c r="M50" s="2">
        <f t="shared" si="7"/>
        <v>2.3164123785030289E-2</v>
      </c>
      <c r="N50" s="1">
        <f t="shared" si="8"/>
        <v>0.68222524325861456</v>
      </c>
      <c r="O50" s="1">
        <f t="shared" si="9"/>
        <v>0.59140563180264427</v>
      </c>
      <c r="P50" s="2">
        <f t="shared" si="10"/>
        <v>0.59296413271060755</v>
      </c>
      <c r="Q50" s="2">
        <f t="shared" si="11"/>
        <v>0.5309057997880996</v>
      </c>
    </row>
    <row r="51" spans="1:17" x14ac:dyDescent="0.25">
      <c r="A51" s="1" t="s">
        <v>2</v>
      </c>
      <c r="B51" s="1">
        <v>0.47557453050742987</v>
      </c>
      <c r="C51" s="5">
        <v>167</v>
      </c>
      <c r="D51" s="1">
        <f t="shared" si="0"/>
        <v>2.8136973056155798</v>
      </c>
      <c r="E51" s="1">
        <f t="shared" si="1"/>
        <v>0.51724969280281563</v>
      </c>
      <c r="F51" s="1">
        <f t="shared" si="5"/>
        <v>7.8086880944303036E-2</v>
      </c>
      <c r="G51">
        <f t="shared" si="3"/>
        <v>164</v>
      </c>
      <c r="H51" s="5">
        <f t="shared" si="4"/>
        <v>84.828949619661756</v>
      </c>
      <c r="L51" s="2" t="s">
        <v>59</v>
      </c>
      <c r="M51" s="2"/>
    </row>
    <row r="52" spans="1:17" x14ac:dyDescent="0.25">
      <c r="A52" s="1" t="s">
        <v>3</v>
      </c>
      <c r="B52" s="1">
        <v>0.69405043372726727</v>
      </c>
      <c r="C52" s="5">
        <v>131</v>
      </c>
      <c r="D52" s="1">
        <f t="shared" si="0"/>
        <v>5.53702511941834</v>
      </c>
      <c r="E52" s="1">
        <f t="shared" si="1"/>
        <v>0.8557286872391221</v>
      </c>
      <c r="F52" s="1">
        <f t="shared" si="5"/>
        <v>8.8388347648318433E-2</v>
      </c>
      <c r="G52">
        <f t="shared" si="3"/>
        <v>128.00000000000003</v>
      </c>
      <c r="H52" s="5">
        <f t="shared" si="4"/>
        <v>109.53327196660766</v>
      </c>
      <c r="M52" s="2"/>
    </row>
    <row r="53" spans="1:17" x14ac:dyDescent="0.25">
      <c r="A53" s="1" t="s">
        <v>4</v>
      </c>
      <c r="B53" s="1">
        <v>0.65161860417131257</v>
      </c>
      <c r="C53" s="5">
        <v>224</v>
      </c>
      <c r="D53" s="1">
        <f t="shared" si="0"/>
        <v>4.7408346827552101</v>
      </c>
      <c r="E53" s="1">
        <f t="shared" si="1"/>
        <v>0.77810660680631649</v>
      </c>
      <c r="F53" s="1">
        <f t="shared" si="5"/>
        <v>6.7267279399631244E-2</v>
      </c>
      <c r="G53">
        <f t="shared" si="3"/>
        <v>221.00000000000003</v>
      </c>
      <c r="H53" s="5">
        <f t="shared" si="4"/>
        <v>171.96156010419597</v>
      </c>
      <c r="M53" s="2"/>
    </row>
    <row r="54" spans="1:17" x14ac:dyDescent="0.25">
      <c r="A54" s="1" t="s">
        <v>5</v>
      </c>
      <c r="B54" s="1">
        <v>0.57974531773419913</v>
      </c>
      <c r="C54" s="5">
        <v>67</v>
      </c>
      <c r="D54" s="1">
        <f t="shared" si="0"/>
        <v>3.7590189577829585</v>
      </c>
      <c r="E54" s="1">
        <f t="shared" si="1"/>
        <v>0.6620790039370904</v>
      </c>
      <c r="F54" s="1">
        <f t="shared" si="5"/>
        <v>0.125</v>
      </c>
      <c r="G54">
        <f t="shared" si="3"/>
        <v>64</v>
      </c>
      <c r="H54" s="5">
        <f t="shared" si="4"/>
        <v>42.373056251973786</v>
      </c>
      <c r="M54" s="2"/>
    </row>
    <row r="55" spans="1:17" x14ac:dyDescent="0.25">
      <c r="A55" s="1" t="s">
        <v>6</v>
      </c>
      <c r="B55" s="1">
        <v>0.49430512282468902</v>
      </c>
      <c r="C55" s="5">
        <v>88</v>
      </c>
      <c r="D55" s="1">
        <f t="shared" si="0"/>
        <v>2.9549540449599085</v>
      </c>
      <c r="E55" s="1">
        <f t="shared" si="1"/>
        <v>0.54174154955806075</v>
      </c>
      <c r="F55" s="1">
        <f t="shared" si="5"/>
        <v>0.10846522890932808</v>
      </c>
      <c r="G55">
        <f t="shared" si="3"/>
        <v>85</v>
      </c>
      <c r="H55" s="5">
        <f t="shared" si="4"/>
        <v>46.048031712435161</v>
      </c>
      <c r="M55" s="2"/>
    </row>
    <row r="56" spans="1:17" x14ac:dyDescent="0.25">
      <c r="A56" s="1" t="s">
        <v>7</v>
      </c>
      <c r="B56" s="1">
        <v>0.68558729401777652</v>
      </c>
      <c r="C56" s="5">
        <v>76</v>
      </c>
      <c r="D56" s="1">
        <f t="shared" si="0"/>
        <v>5.3610660827208347</v>
      </c>
      <c r="E56" s="1">
        <f t="shared" si="1"/>
        <v>0.83958142566776206</v>
      </c>
      <c r="F56" s="1">
        <f t="shared" si="5"/>
        <v>0.11704114719613057</v>
      </c>
      <c r="G56">
        <f t="shared" si="3"/>
        <v>73</v>
      </c>
      <c r="H56" s="5">
        <f t="shared" si="4"/>
        <v>61.28944407374663</v>
      </c>
      <c r="M56" s="2"/>
    </row>
    <row r="57" spans="1:17" x14ac:dyDescent="0.25">
      <c r="A57" s="1" t="s">
        <v>8</v>
      </c>
      <c r="B57" s="1">
        <v>0.41042035452609521</v>
      </c>
      <c r="C57" s="5">
        <v>42</v>
      </c>
      <c r="D57" s="1">
        <f t="shared" si="0"/>
        <v>2.3922473670073829</v>
      </c>
      <c r="E57" s="1">
        <f t="shared" si="1"/>
        <v>0.43611662252112027</v>
      </c>
      <c r="F57" s="1">
        <f t="shared" si="5"/>
        <v>0.16012815380508713</v>
      </c>
      <c r="G57">
        <f t="shared" si="3"/>
        <v>39</v>
      </c>
      <c r="H57" s="5">
        <f t="shared" si="4"/>
        <v>17.008548278323691</v>
      </c>
      <c r="M57" s="2"/>
    </row>
    <row r="58" spans="1:17" x14ac:dyDescent="0.25">
      <c r="A58" s="1" t="s">
        <v>9</v>
      </c>
      <c r="B58" s="1">
        <v>0.30087593178991118</v>
      </c>
      <c r="C58" s="5">
        <v>53</v>
      </c>
      <c r="D58" s="1">
        <f t="shared" si="0"/>
        <v>1.8607225683424682</v>
      </c>
      <c r="E58" s="1">
        <f t="shared" si="1"/>
        <v>0.31048244494534993</v>
      </c>
      <c r="F58" s="1">
        <f t="shared" si="5"/>
        <v>0.1414213562373095</v>
      </c>
      <c r="G58">
        <f t="shared" si="3"/>
        <v>50</v>
      </c>
      <c r="H58" s="5">
        <f t="shared" si="4"/>
        <v>15.524122247267497</v>
      </c>
      <c r="M58" s="2"/>
    </row>
    <row r="59" spans="1:17" x14ac:dyDescent="0.25">
      <c r="A59" s="1" t="s">
        <v>10</v>
      </c>
      <c r="B59" s="1">
        <v>0.49372103959926039</v>
      </c>
      <c r="C59" s="5">
        <v>95</v>
      </c>
      <c r="D59" s="1">
        <f t="shared" si="0"/>
        <v>2.9503912989331451</v>
      </c>
      <c r="E59" s="1">
        <f t="shared" si="1"/>
        <v>0.54096890263074038</v>
      </c>
      <c r="F59" s="1">
        <f t="shared" si="5"/>
        <v>0.10425720702853739</v>
      </c>
      <c r="G59">
        <f t="shared" si="3"/>
        <v>91.999999999999986</v>
      </c>
      <c r="H59" s="5">
        <f t="shared" si="4"/>
        <v>49.769139042028108</v>
      </c>
      <c r="M59" s="2"/>
    </row>
    <row r="60" spans="1:17" x14ac:dyDescent="0.25">
      <c r="A60" s="1" t="s">
        <v>11</v>
      </c>
      <c r="B60" s="1">
        <v>0.77097436373896011</v>
      </c>
      <c r="C60" s="5">
        <v>81</v>
      </c>
      <c r="D60" s="1">
        <f t="shared" si="0"/>
        <v>7.7326468453532895</v>
      </c>
      <c r="E60" s="1">
        <f t="shared" si="1"/>
        <v>1.0227256080332228</v>
      </c>
      <c r="F60" s="1">
        <f t="shared" si="5"/>
        <v>0.11322770341445956</v>
      </c>
      <c r="G60">
        <f t="shared" si="3"/>
        <v>78.000000000000014</v>
      </c>
      <c r="H60" s="5">
        <f t="shared" si="4"/>
        <v>79.772597426591389</v>
      </c>
      <c r="M60" s="2"/>
    </row>
    <row r="61" spans="1:17" x14ac:dyDescent="0.25">
      <c r="A61" s="1" t="s">
        <v>12</v>
      </c>
      <c r="B61" s="1">
        <v>0.53475435141779681</v>
      </c>
      <c r="C61" s="5">
        <v>726</v>
      </c>
      <c r="D61" s="1">
        <f t="shared" si="0"/>
        <v>3.298804311431673</v>
      </c>
      <c r="E61" s="1">
        <f t="shared" si="1"/>
        <v>0.59678003647295863</v>
      </c>
      <c r="F61" s="1">
        <f t="shared" si="5"/>
        <v>3.7190400165280094E-2</v>
      </c>
      <c r="G61">
        <f t="shared" si="3"/>
        <v>722.99999999999989</v>
      </c>
      <c r="H61" s="5">
        <f t="shared" si="4"/>
        <v>431.47196636994903</v>
      </c>
      <c r="M61" s="2"/>
    </row>
    <row r="62" spans="1:17" x14ac:dyDescent="0.25">
      <c r="A62" s="1" t="s">
        <v>13</v>
      </c>
      <c r="B62" s="1">
        <v>0.4262670958887505</v>
      </c>
      <c r="C62" s="5">
        <v>57</v>
      </c>
      <c r="D62" s="1">
        <f t="shared" si="0"/>
        <v>2.4859426497389636</v>
      </c>
      <c r="E62" s="1">
        <f t="shared" si="1"/>
        <v>0.45532596176498341</v>
      </c>
      <c r="F62" s="1">
        <f t="shared" si="5"/>
        <v>0.13608276348795434</v>
      </c>
      <c r="G62">
        <f t="shared" si="3"/>
        <v>54</v>
      </c>
      <c r="H62" s="5">
        <f t="shared" si="4"/>
        <v>24.587601935309102</v>
      </c>
      <c r="M62" s="2"/>
    </row>
    <row r="63" spans="1:17" x14ac:dyDescent="0.25">
      <c r="D63" s="1"/>
      <c r="E63" s="1"/>
      <c r="F63" s="1"/>
      <c r="G63" s="7">
        <f>SUM(G50:G62)</f>
        <v>1863</v>
      </c>
      <c r="M63" s="2"/>
    </row>
    <row r="64" spans="1:17" x14ac:dyDescent="0.25">
      <c r="D64" s="1"/>
      <c r="E64" s="1"/>
      <c r="F64" s="1"/>
      <c r="M64" s="2"/>
    </row>
    <row r="65" spans="1:17" x14ac:dyDescent="0.25">
      <c r="A65" s="1" t="s">
        <v>1</v>
      </c>
      <c r="B65" s="1" t="s">
        <v>43</v>
      </c>
      <c r="C65" s="5" t="s">
        <v>47</v>
      </c>
      <c r="D65" s="1"/>
      <c r="E65" s="5" t="s">
        <v>48</v>
      </c>
      <c r="F65" s="5" t="s">
        <v>49</v>
      </c>
      <c r="G65" t="s">
        <v>50</v>
      </c>
      <c r="M65" s="2"/>
    </row>
    <row r="66" spans="1:17" x14ac:dyDescent="0.25">
      <c r="A66" s="1" t="s">
        <v>0</v>
      </c>
      <c r="B66" s="1">
        <v>0.14393647803189338</v>
      </c>
      <c r="C66" s="5">
        <v>92</v>
      </c>
      <c r="D66" s="1">
        <f t="shared" si="0"/>
        <v>1.3362752280367716</v>
      </c>
      <c r="E66" s="1">
        <f t="shared" si="1"/>
        <v>0.14494303145353571</v>
      </c>
      <c r="F66" s="1">
        <f t="shared" si="5"/>
        <v>0.105999788000636</v>
      </c>
      <c r="G66">
        <f t="shared" si="3"/>
        <v>88.999999999999986</v>
      </c>
      <c r="H66" s="5">
        <f t="shared" si="4"/>
        <v>12.899929799364676</v>
      </c>
      <c r="J66" s="4">
        <f>(SUM(H66:H78))/G79</f>
        <v>0.30712912627267563</v>
      </c>
      <c r="K66" s="4">
        <f>1/SQRT(G79)</f>
        <v>2.3363465675799888E-2</v>
      </c>
      <c r="L66" s="2">
        <f t="shared" si="6"/>
        <v>0.29782310808621115</v>
      </c>
      <c r="M66" s="2">
        <f t="shared" si="7"/>
        <v>2.3359215609277138E-2</v>
      </c>
      <c r="N66" s="1">
        <f t="shared" si="8"/>
        <v>0.35292151899724344</v>
      </c>
      <c r="O66" s="1">
        <f t="shared" si="9"/>
        <v>0.26133673354810782</v>
      </c>
      <c r="P66" s="2">
        <f t="shared" si="10"/>
        <v>0.33896394676277591</v>
      </c>
      <c r="Q66" s="2">
        <f t="shared" si="11"/>
        <v>0.25554539906582913</v>
      </c>
    </row>
    <row r="67" spans="1:17" x14ac:dyDescent="0.25">
      <c r="A67" s="1" t="s">
        <v>2</v>
      </c>
      <c r="B67" s="1">
        <v>0.29479665256571475</v>
      </c>
      <c r="C67" s="5">
        <v>160</v>
      </c>
      <c r="D67" s="1">
        <f t="shared" ref="D67:D125" si="12">(1+B67)/(1-B67)</f>
        <v>1.836061410196824</v>
      </c>
      <c r="E67" s="1">
        <f t="shared" ref="E67:E125" si="13">(LN(D67))/2</f>
        <v>0.30381136972927691</v>
      </c>
      <c r="F67" s="1">
        <f t="shared" si="5"/>
        <v>7.9808688446762213E-2</v>
      </c>
      <c r="G67">
        <f t="shared" ref="G67:G125" si="14">1/F67^2</f>
        <v>157</v>
      </c>
      <c r="H67" s="5">
        <f t="shared" ref="H67:H125" si="15">G67*E67</f>
        <v>47.698385047496473</v>
      </c>
      <c r="L67" s="2" t="s">
        <v>60</v>
      </c>
      <c r="M67" s="2"/>
    </row>
    <row r="68" spans="1:17" x14ac:dyDescent="0.25">
      <c r="A68" s="1" t="s">
        <v>3</v>
      </c>
      <c r="B68" s="1">
        <v>0.30604656398695429</v>
      </c>
      <c r="C68" s="5">
        <v>126</v>
      </c>
      <c r="D68" s="1">
        <f t="shared" si="12"/>
        <v>1.8820377509628783</v>
      </c>
      <c r="E68" s="1">
        <f t="shared" si="13"/>
        <v>0.31617754996104686</v>
      </c>
      <c r="F68" s="1">
        <f t="shared" si="5"/>
        <v>9.016696346674323E-2</v>
      </c>
      <c r="G68">
        <f t="shared" si="14"/>
        <v>122.99999999999999</v>
      </c>
      <c r="H68" s="5">
        <f t="shared" si="15"/>
        <v>38.889838645208762</v>
      </c>
      <c r="M68" s="2"/>
    </row>
    <row r="69" spans="1:17" x14ac:dyDescent="0.25">
      <c r="A69" s="1" t="s">
        <v>4</v>
      </c>
      <c r="B69" s="1">
        <v>0.37583032718311388</v>
      </c>
      <c r="C69" s="5">
        <v>223</v>
      </c>
      <c r="D69" s="1">
        <f t="shared" si="12"/>
        <v>2.204256930609866</v>
      </c>
      <c r="E69" s="1">
        <f t="shared" si="13"/>
        <v>0.39519522959161968</v>
      </c>
      <c r="F69" s="1">
        <f t="shared" si="5"/>
        <v>6.7419986246324212E-2</v>
      </c>
      <c r="G69">
        <f t="shared" si="14"/>
        <v>219.99999999999997</v>
      </c>
      <c r="H69" s="5">
        <f t="shared" si="15"/>
        <v>86.942950510156322</v>
      </c>
      <c r="M69" s="2"/>
    </row>
    <row r="70" spans="1:17" x14ac:dyDescent="0.25">
      <c r="A70" s="1" t="s">
        <v>5</v>
      </c>
      <c r="B70" s="1">
        <v>0.26855532659418618</v>
      </c>
      <c r="C70" s="5">
        <v>67</v>
      </c>
      <c r="D70" s="1">
        <f t="shared" si="12"/>
        <v>1.7343148056399578</v>
      </c>
      <c r="E70" s="1">
        <f t="shared" si="13"/>
        <v>0.27530620534616496</v>
      </c>
      <c r="F70" s="1">
        <f t="shared" si="5"/>
        <v>0.125</v>
      </c>
      <c r="G70">
        <f t="shared" si="14"/>
        <v>64</v>
      </c>
      <c r="H70" s="5">
        <f t="shared" si="15"/>
        <v>17.619597142154557</v>
      </c>
      <c r="M70" s="2"/>
    </row>
    <row r="71" spans="1:17" x14ac:dyDescent="0.25">
      <c r="A71" s="1" t="s">
        <v>6</v>
      </c>
      <c r="B71" s="1">
        <v>0.35924497961429425</v>
      </c>
      <c r="C71" s="5">
        <v>88</v>
      </c>
      <c r="D71" s="1">
        <f t="shared" si="12"/>
        <v>2.1213177210786265</v>
      </c>
      <c r="E71" s="1">
        <f t="shared" si="13"/>
        <v>0.37601873106898309</v>
      </c>
      <c r="F71" s="1">
        <f t="shared" si="5"/>
        <v>0.10846522890932808</v>
      </c>
      <c r="G71">
        <f t="shared" si="14"/>
        <v>85</v>
      </c>
      <c r="H71" s="5">
        <f t="shared" si="15"/>
        <v>31.961592140863562</v>
      </c>
      <c r="M71" s="2"/>
    </row>
    <row r="72" spans="1:17" x14ac:dyDescent="0.25">
      <c r="A72" s="1" t="s">
        <v>7</v>
      </c>
      <c r="B72" s="1">
        <v>0.25741615367939008</v>
      </c>
      <c r="C72" s="5">
        <v>75</v>
      </c>
      <c r="D72" s="1">
        <f t="shared" si="12"/>
        <v>1.6932985546476618</v>
      </c>
      <c r="E72" s="1">
        <f t="shared" si="13"/>
        <v>0.26333921705873026</v>
      </c>
      <c r="F72" s="1">
        <f t="shared" si="5"/>
        <v>0.11785113019775793</v>
      </c>
      <c r="G72">
        <f t="shared" si="14"/>
        <v>71.999999999999986</v>
      </c>
      <c r="H72" s="5">
        <f t="shared" si="15"/>
        <v>18.960423628228575</v>
      </c>
      <c r="M72" s="2"/>
    </row>
    <row r="73" spans="1:17" x14ac:dyDescent="0.25">
      <c r="A73" s="1" t="s">
        <v>8</v>
      </c>
      <c r="B73" s="1">
        <v>5.4812687795780246E-2</v>
      </c>
      <c r="C73" s="5">
        <v>37</v>
      </c>
      <c r="D73" s="1">
        <f t="shared" si="12"/>
        <v>1.1159826990651291</v>
      </c>
      <c r="E73" s="1">
        <f t="shared" si="13"/>
        <v>5.4867680604569799E-2</v>
      </c>
      <c r="F73" s="1">
        <f t="shared" si="5"/>
        <v>0.17149858514250882</v>
      </c>
      <c r="G73">
        <f t="shared" si="14"/>
        <v>34.000000000000007</v>
      </c>
      <c r="H73" s="5">
        <f t="shared" si="15"/>
        <v>1.8655011405553736</v>
      </c>
      <c r="M73" s="2"/>
    </row>
    <row r="74" spans="1:17" x14ac:dyDescent="0.25">
      <c r="A74" s="1" t="s">
        <v>9</v>
      </c>
      <c r="B74" s="1">
        <v>0.43781893259217053</v>
      </c>
      <c r="C74" s="5">
        <v>54</v>
      </c>
      <c r="D74" s="1">
        <f t="shared" si="12"/>
        <v>2.5575726682185067</v>
      </c>
      <c r="E74" s="1">
        <f t="shared" si="13"/>
        <v>0.46952931610532905</v>
      </c>
      <c r="F74" s="1">
        <f t="shared" si="5"/>
        <v>0.14002800840280097</v>
      </c>
      <c r="G74">
        <f t="shared" si="14"/>
        <v>51.000000000000007</v>
      </c>
      <c r="H74" s="5">
        <f t="shared" si="15"/>
        <v>23.945995121371784</v>
      </c>
      <c r="M74" s="2"/>
    </row>
    <row r="75" spans="1:17" x14ac:dyDescent="0.25">
      <c r="A75" s="1" t="s">
        <v>10</v>
      </c>
      <c r="B75" s="1">
        <v>4.1986412649904339E-2</v>
      </c>
      <c r="C75" s="5">
        <v>95</v>
      </c>
      <c r="D75" s="1">
        <f t="shared" si="12"/>
        <v>1.0876530629717693</v>
      </c>
      <c r="E75" s="1">
        <f t="shared" si="13"/>
        <v>4.2011110818470608E-2</v>
      </c>
      <c r="F75" s="1">
        <f t="shared" si="5"/>
        <v>0.10425720702853739</v>
      </c>
      <c r="G75">
        <f t="shared" si="14"/>
        <v>91.999999999999986</v>
      </c>
      <c r="H75" s="5">
        <f t="shared" si="15"/>
        <v>3.8650221952992951</v>
      </c>
      <c r="M75" s="2"/>
    </row>
    <row r="76" spans="1:17" x14ac:dyDescent="0.25">
      <c r="A76" s="1" t="s">
        <v>11</v>
      </c>
      <c r="B76" s="1">
        <v>0.37255956858783301</v>
      </c>
      <c r="C76" s="5">
        <v>79</v>
      </c>
      <c r="D76" s="1">
        <f t="shared" si="12"/>
        <v>2.1875535905434753</v>
      </c>
      <c r="E76" s="1">
        <f t="shared" si="13"/>
        <v>0.39139191874185419</v>
      </c>
      <c r="F76" s="1">
        <f t="shared" si="5"/>
        <v>0.11470786693528087</v>
      </c>
      <c r="G76">
        <f t="shared" si="14"/>
        <v>76.000000000000014</v>
      </c>
      <c r="H76" s="5">
        <f t="shared" si="15"/>
        <v>29.745785824380924</v>
      </c>
      <c r="M76" s="2"/>
    </row>
    <row r="77" spans="1:17" x14ac:dyDescent="0.25">
      <c r="A77" s="1" t="s">
        <v>12</v>
      </c>
      <c r="B77" s="1">
        <v>0.31680293850670194</v>
      </c>
      <c r="C77" s="5">
        <v>719</v>
      </c>
      <c r="D77" s="1">
        <f t="shared" si="12"/>
        <v>1.9274130594597403</v>
      </c>
      <c r="E77" s="1">
        <f t="shared" si="13"/>
        <v>0.32808936004970751</v>
      </c>
      <c r="F77" s="1">
        <f t="shared" si="5"/>
        <v>3.7371754637596795E-2</v>
      </c>
      <c r="G77">
        <f t="shared" si="14"/>
        <v>716</v>
      </c>
      <c r="H77" s="5">
        <f t="shared" si="15"/>
        <v>234.91198179559058</v>
      </c>
      <c r="M77" s="2"/>
    </row>
    <row r="78" spans="1:17" x14ac:dyDescent="0.25">
      <c r="A78" s="1" t="s">
        <v>13</v>
      </c>
      <c r="B78" s="1">
        <v>0.24675447019456409</v>
      </c>
      <c r="C78" s="5">
        <v>56</v>
      </c>
      <c r="D78" s="1">
        <f t="shared" si="12"/>
        <v>1.6551767263943831</v>
      </c>
      <c r="E78" s="1">
        <f t="shared" si="13"/>
        <v>0.25195389322398115</v>
      </c>
      <c r="F78" s="1">
        <f t="shared" si="5"/>
        <v>0.13736056394868904</v>
      </c>
      <c r="G78">
        <f t="shared" si="14"/>
        <v>52.999999999999993</v>
      </c>
      <c r="H78" s="5">
        <f t="shared" si="15"/>
        <v>13.353556340871</v>
      </c>
      <c r="M78" s="2"/>
    </row>
    <row r="79" spans="1:17" x14ac:dyDescent="0.25">
      <c r="D79" s="1"/>
      <c r="E79" s="1"/>
      <c r="F79" s="1"/>
      <c r="G79" s="7">
        <f>SUM(G66:G78)</f>
        <v>1832</v>
      </c>
      <c r="M79" s="2"/>
    </row>
    <row r="80" spans="1:17" x14ac:dyDescent="0.25">
      <c r="D80" s="1"/>
      <c r="E80" s="1"/>
      <c r="F80" s="1"/>
      <c r="M80" s="2"/>
    </row>
    <row r="81" spans="1:17" x14ac:dyDescent="0.25">
      <c r="A81" s="1" t="s">
        <v>1</v>
      </c>
      <c r="B81" s="1" t="s">
        <v>44</v>
      </c>
      <c r="C81" s="5" t="s">
        <v>47</v>
      </c>
      <c r="D81" s="1"/>
      <c r="E81" s="5" t="s">
        <v>48</v>
      </c>
      <c r="F81" s="5" t="s">
        <v>49</v>
      </c>
      <c r="G81" t="s">
        <v>50</v>
      </c>
      <c r="M81" s="2"/>
    </row>
    <row r="82" spans="1:17" x14ac:dyDescent="0.25">
      <c r="A82" s="1" t="s">
        <v>0</v>
      </c>
      <c r="B82" s="1">
        <v>0.45957354443320575</v>
      </c>
      <c r="C82" s="5">
        <v>95</v>
      </c>
      <c r="D82" s="1">
        <f t="shared" si="12"/>
        <v>2.7007810764971132</v>
      </c>
      <c r="E82" s="1">
        <f t="shared" si="13"/>
        <v>0.49677050938310979</v>
      </c>
      <c r="F82" s="1">
        <f t="shared" ref="F82:F125" si="16">1/SQRT(C82-3)</f>
        <v>0.10425720702853739</v>
      </c>
      <c r="G82">
        <f t="shared" si="14"/>
        <v>91.999999999999986</v>
      </c>
      <c r="H82" s="5">
        <f t="shared" si="15"/>
        <v>45.702886863246093</v>
      </c>
      <c r="J82" s="4">
        <f>SUM(H82:H94)/G95</f>
        <v>0.62176584591753803</v>
      </c>
      <c r="K82" s="4">
        <f>1/SQRT(G95)</f>
        <v>2.3193180352135665E-2</v>
      </c>
      <c r="L82" s="2">
        <f t="shared" ref="L82:L113" si="17">((EXP(2*J82))-1)/((EXP(2*J82))+1)</f>
        <v>0.55235631604672597</v>
      </c>
      <c r="M82" s="2">
        <f t="shared" ref="M82:M113" si="18">((EXP(2*K82))-1)/((EXP(2*K82))+1)</f>
        <v>2.3189022526965419E-2</v>
      </c>
      <c r="N82" s="1">
        <f t="shared" ref="N82:N113" si="19">J82+(1.96*K82)</f>
        <v>0.66722447940772389</v>
      </c>
      <c r="O82" s="1">
        <f t="shared" ref="O82:O113" si="20">J82-(1.96*K82)</f>
        <v>0.57630721242735217</v>
      </c>
      <c r="P82" s="2">
        <f t="shared" ref="P82:P113" si="21">((EXP(2*N82))-1)/((EXP(2*N82))+1)</f>
        <v>0.58315118507543817</v>
      </c>
      <c r="Q82" s="2">
        <f t="shared" ref="Q82:Q113" si="22">((EXP(2*O82))-1)/((EXP(2*O82))+1)</f>
        <v>0.51997625655969215</v>
      </c>
    </row>
    <row r="83" spans="1:17" x14ac:dyDescent="0.25">
      <c r="A83" s="1" t="s">
        <v>2</v>
      </c>
      <c r="B83" s="1">
        <v>0.56631501684588248</v>
      </c>
      <c r="C83" s="5">
        <v>168</v>
      </c>
      <c r="D83" s="1">
        <f t="shared" si="12"/>
        <v>3.6116422695901025</v>
      </c>
      <c r="E83" s="1">
        <f t="shared" si="13"/>
        <v>0.64208129561156457</v>
      </c>
      <c r="F83" s="1">
        <f t="shared" si="16"/>
        <v>7.7849894416152296E-2</v>
      </c>
      <c r="G83">
        <f t="shared" si="14"/>
        <v>165</v>
      </c>
      <c r="H83" s="5">
        <f t="shared" si="15"/>
        <v>105.94341377590816</v>
      </c>
      <c r="L83" s="2" t="s">
        <v>59</v>
      </c>
      <c r="M83" s="2"/>
    </row>
    <row r="84" spans="1:17" x14ac:dyDescent="0.25">
      <c r="A84" s="1" t="s">
        <v>3</v>
      </c>
      <c r="B84" s="1">
        <v>0.58617193337477058</v>
      </c>
      <c r="C84" s="5">
        <v>129</v>
      </c>
      <c r="D84" s="1">
        <f t="shared" si="12"/>
        <v>3.8329249785062021</v>
      </c>
      <c r="E84" s="1">
        <f t="shared" si="13"/>
        <v>0.67181410684022291</v>
      </c>
      <c r="F84" s="1">
        <f t="shared" si="16"/>
        <v>8.9087080637474794E-2</v>
      </c>
      <c r="G84">
        <f t="shared" si="14"/>
        <v>126</v>
      </c>
      <c r="H84" s="5">
        <f t="shared" si="15"/>
        <v>84.648577461868086</v>
      </c>
      <c r="M84" s="2"/>
    </row>
    <row r="85" spans="1:17" x14ac:dyDescent="0.25">
      <c r="A85" s="1" t="s">
        <v>4</v>
      </c>
      <c r="B85" s="1">
        <v>0.63775012632469452</v>
      </c>
      <c r="C85" s="5">
        <v>226</v>
      </c>
      <c r="D85" s="1">
        <f t="shared" si="12"/>
        <v>4.5210509246240758</v>
      </c>
      <c r="E85" s="1">
        <f t="shared" si="13"/>
        <v>0.75437223613337079</v>
      </c>
      <c r="F85" s="1">
        <f t="shared" si="16"/>
        <v>6.6964953018242512E-2</v>
      </c>
      <c r="G85">
        <f t="shared" si="14"/>
        <v>222.99999999999997</v>
      </c>
      <c r="H85" s="5">
        <f t="shared" si="15"/>
        <v>168.22500865774165</v>
      </c>
      <c r="M85" s="2"/>
    </row>
    <row r="86" spans="1:17" x14ac:dyDescent="0.25">
      <c r="A86" s="1" t="s">
        <v>5</v>
      </c>
      <c r="B86" s="1">
        <v>0.50439963303477142</v>
      </c>
      <c r="C86" s="5">
        <v>67</v>
      </c>
      <c r="D86" s="1">
        <f t="shared" si="12"/>
        <v>3.0355095220103427</v>
      </c>
      <c r="E86" s="1">
        <f t="shared" si="13"/>
        <v>0.55518964623354461</v>
      </c>
      <c r="F86" s="1">
        <f t="shared" si="16"/>
        <v>0.125</v>
      </c>
      <c r="G86">
        <f t="shared" si="14"/>
        <v>64</v>
      </c>
      <c r="H86" s="5">
        <f t="shared" si="15"/>
        <v>35.532137358946855</v>
      </c>
      <c r="M86" s="2"/>
    </row>
    <row r="87" spans="1:17" x14ac:dyDescent="0.25">
      <c r="A87" s="1" t="s">
        <v>6</v>
      </c>
      <c r="B87" s="1">
        <v>0.44864524960350899</v>
      </c>
      <c r="C87" s="5">
        <v>86</v>
      </c>
      <c r="D87" s="1">
        <f t="shared" si="12"/>
        <v>2.6274286175311938</v>
      </c>
      <c r="E87" s="1">
        <f t="shared" si="13"/>
        <v>0.48300282797611854</v>
      </c>
      <c r="F87" s="1">
        <f t="shared" si="16"/>
        <v>0.10976425998969035</v>
      </c>
      <c r="G87">
        <f t="shared" si="14"/>
        <v>83.000000000000014</v>
      </c>
      <c r="H87" s="5">
        <f t="shared" si="15"/>
        <v>40.089234722017849</v>
      </c>
      <c r="M87" s="2"/>
    </row>
    <row r="88" spans="1:17" x14ac:dyDescent="0.25">
      <c r="A88" s="1" t="s">
        <v>7</v>
      </c>
      <c r="B88" s="1">
        <v>0.67112359137577071</v>
      </c>
      <c r="C88" s="5">
        <v>76</v>
      </c>
      <c r="D88" s="1">
        <f t="shared" si="12"/>
        <v>5.0813118471053933</v>
      </c>
      <c r="E88" s="1">
        <f t="shared" si="13"/>
        <v>0.81278473293598386</v>
      </c>
      <c r="F88" s="1">
        <f t="shared" si="16"/>
        <v>0.11704114719613057</v>
      </c>
      <c r="G88">
        <f t="shared" si="14"/>
        <v>73</v>
      </c>
      <c r="H88" s="5">
        <f t="shared" si="15"/>
        <v>59.333285504326824</v>
      </c>
      <c r="M88" s="2"/>
    </row>
    <row r="89" spans="1:17" x14ac:dyDescent="0.25">
      <c r="A89" s="1" t="s">
        <v>8</v>
      </c>
      <c r="B89" s="1">
        <v>0.47305842379153074</v>
      </c>
      <c r="C89" s="5">
        <v>42</v>
      </c>
      <c r="D89" s="1">
        <f t="shared" si="12"/>
        <v>2.7954871854878225</v>
      </c>
      <c r="E89" s="1">
        <f t="shared" si="13"/>
        <v>0.51400319874772804</v>
      </c>
      <c r="F89" s="1">
        <f t="shared" si="16"/>
        <v>0.16012815380508713</v>
      </c>
      <c r="G89">
        <f t="shared" si="14"/>
        <v>39</v>
      </c>
      <c r="H89" s="5">
        <f t="shared" si="15"/>
        <v>20.046124751161393</v>
      </c>
      <c r="M89" s="2"/>
    </row>
    <row r="90" spans="1:17" x14ac:dyDescent="0.25">
      <c r="A90" s="1" t="s">
        <v>9</v>
      </c>
      <c r="B90" s="1">
        <v>0.59342709960698281</v>
      </c>
      <c r="C90" s="5">
        <v>54</v>
      </c>
      <c r="D90" s="1">
        <f t="shared" si="12"/>
        <v>3.9191670130170575</v>
      </c>
      <c r="E90" s="1">
        <f t="shared" si="13"/>
        <v>0.68293956727121541</v>
      </c>
      <c r="F90" s="1">
        <f t="shared" si="16"/>
        <v>0.14002800840280097</v>
      </c>
      <c r="G90">
        <f t="shared" si="14"/>
        <v>51.000000000000007</v>
      </c>
      <c r="H90" s="5">
        <f t="shared" si="15"/>
        <v>34.829917930831989</v>
      </c>
      <c r="M90" s="2"/>
    </row>
    <row r="91" spans="1:17" x14ac:dyDescent="0.25">
      <c r="A91" s="1" t="s">
        <v>10</v>
      </c>
      <c r="B91" s="1">
        <v>0.62396784225139934</v>
      </c>
      <c r="C91" s="5">
        <v>95</v>
      </c>
      <c r="D91" s="1">
        <f t="shared" si="12"/>
        <v>4.3186940499304747</v>
      </c>
      <c r="E91" s="1">
        <f t="shared" si="13"/>
        <v>0.73147652664817198</v>
      </c>
      <c r="F91" s="1">
        <f t="shared" si="16"/>
        <v>0.10425720702853739</v>
      </c>
      <c r="G91">
        <f t="shared" si="14"/>
        <v>91.999999999999986</v>
      </c>
      <c r="H91" s="5">
        <f t="shared" si="15"/>
        <v>67.295840451631818</v>
      </c>
      <c r="M91" s="2"/>
    </row>
    <row r="92" spans="1:17" x14ac:dyDescent="0.25">
      <c r="A92" s="1" t="s">
        <v>11</v>
      </c>
      <c r="B92" s="1">
        <v>0.55024882333812797</v>
      </c>
      <c r="C92" s="5">
        <v>79</v>
      </c>
      <c r="D92" s="1">
        <f t="shared" si="12"/>
        <v>3.4469033185067626</v>
      </c>
      <c r="E92" s="1">
        <f t="shared" si="13"/>
        <v>0.61873811956528635</v>
      </c>
      <c r="F92" s="1">
        <f t="shared" si="16"/>
        <v>0.11470786693528087</v>
      </c>
      <c r="G92">
        <f t="shared" si="14"/>
        <v>76.000000000000014</v>
      </c>
      <c r="H92" s="5">
        <f t="shared" si="15"/>
        <v>47.024097086961774</v>
      </c>
      <c r="M92" s="2"/>
    </row>
    <row r="93" spans="1:17" x14ac:dyDescent="0.25">
      <c r="A93" s="1" t="s">
        <v>12</v>
      </c>
      <c r="B93" s="1">
        <v>0.50972969188443573</v>
      </c>
      <c r="C93" s="5">
        <v>725</v>
      </c>
      <c r="D93" s="1">
        <f t="shared" si="12"/>
        <v>3.0793822650352487</v>
      </c>
      <c r="E93" s="1">
        <f t="shared" si="13"/>
        <v>0.56236450678486538</v>
      </c>
      <c r="F93" s="1">
        <f t="shared" si="16"/>
        <v>3.7216146378239341E-2</v>
      </c>
      <c r="G93">
        <f t="shared" si="14"/>
        <v>722.00000000000011</v>
      </c>
      <c r="H93" s="5">
        <f t="shared" si="15"/>
        <v>406.02717389867286</v>
      </c>
      <c r="M93" s="2"/>
    </row>
    <row r="94" spans="1:17" x14ac:dyDescent="0.25">
      <c r="A94" s="1" t="s">
        <v>13</v>
      </c>
      <c r="B94" s="1">
        <v>0.65080752152014665</v>
      </c>
      <c r="C94" s="5">
        <v>56</v>
      </c>
      <c r="D94" s="1">
        <f t="shared" si="12"/>
        <v>4.7275002276871492</v>
      </c>
      <c r="E94" s="1">
        <f t="shared" si="13"/>
        <v>0.77669828485637404</v>
      </c>
      <c r="F94" s="1">
        <f t="shared" si="16"/>
        <v>0.13736056394868904</v>
      </c>
      <c r="G94">
        <f t="shared" si="14"/>
        <v>52.999999999999993</v>
      </c>
      <c r="H94" s="5">
        <f t="shared" si="15"/>
        <v>41.165009097387816</v>
      </c>
      <c r="M94" s="2"/>
    </row>
    <row r="95" spans="1:17" x14ac:dyDescent="0.25">
      <c r="D95" s="1"/>
      <c r="E95" s="1"/>
      <c r="F95" s="1"/>
      <c r="G95" s="7">
        <f>SUM(G82:G94)</f>
        <v>1859</v>
      </c>
      <c r="M95" s="2"/>
    </row>
    <row r="96" spans="1:17" x14ac:dyDescent="0.25">
      <c r="A96" s="1" t="s">
        <v>1</v>
      </c>
      <c r="B96" s="1" t="s">
        <v>45</v>
      </c>
      <c r="C96" s="5" t="s">
        <v>47</v>
      </c>
      <c r="D96" s="1"/>
      <c r="E96" s="5" t="s">
        <v>48</v>
      </c>
      <c r="F96" s="5" t="s">
        <v>49</v>
      </c>
      <c r="G96" t="s">
        <v>50</v>
      </c>
      <c r="M96" s="2"/>
    </row>
    <row r="97" spans="1:17" x14ac:dyDescent="0.25">
      <c r="A97" s="1" t="s">
        <v>0</v>
      </c>
      <c r="B97" s="1">
        <v>0.59687021080658176</v>
      </c>
      <c r="C97" s="5">
        <v>95</v>
      </c>
      <c r="D97" s="1">
        <f t="shared" si="12"/>
        <v>3.961181370400829</v>
      </c>
      <c r="E97" s="1">
        <f t="shared" si="13"/>
        <v>0.68827115331743682</v>
      </c>
      <c r="F97" s="1">
        <f t="shared" si="16"/>
        <v>0.10425720702853739</v>
      </c>
      <c r="G97">
        <f t="shared" si="14"/>
        <v>91.999999999999986</v>
      </c>
      <c r="H97" s="5">
        <f t="shared" si="15"/>
        <v>63.320946105204179</v>
      </c>
      <c r="J97" s="4">
        <f>SUM(H97:H109)/G110</f>
        <v>0.69042682760634877</v>
      </c>
      <c r="K97" s="4">
        <f>1/SQRT(G110)</f>
        <v>2.3218173010628604E-2</v>
      </c>
      <c r="L97" s="2">
        <f t="shared" si="17"/>
        <v>0.59825613204962547</v>
      </c>
      <c r="M97" s="2">
        <f t="shared" si="18"/>
        <v>2.3214001731654905E-2</v>
      </c>
      <c r="N97" s="1">
        <f t="shared" si="19"/>
        <v>0.73593444670718089</v>
      </c>
      <c r="O97" s="1">
        <f t="shared" si="20"/>
        <v>0.64491920850551665</v>
      </c>
      <c r="P97" s="2">
        <f t="shared" si="21"/>
        <v>0.62668256488167617</v>
      </c>
      <c r="Q97" s="2">
        <f t="shared" si="22"/>
        <v>0.5682396766489769</v>
      </c>
    </row>
    <row r="98" spans="1:17" x14ac:dyDescent="0.25">
      <c r="A98" s="1" t="s">
        <v>2</v>
      </c>
      <c r="B98" s="1">
        <v>0.64632018019245319</v>
      </c>
      <c r="C98" s="5">
        <v>169</v>
      </c>
      <c r="D98" s="1">
        <f t="shared" si="12"/>
        <v>4.6548321051743651</v>
      </c>
      <c r="E98" s="1">
        <f t="shared" si="13"/>
        <v>0.76895292122343117</v>
      </c>
      <c r="F98" s="1">
        <f t="shared" si="16"/>
        <v>7.7615052570633281E-2</v>
      </c>
      <c r="G98">
        <f t="shared" si="14"/>
        <v>166.00000000000003</v>
      </c>
      <c r="H98" s="5">
        <f t="shared" si="15"/>
        <v>127.64618492308959</v>
      </c>
      <c r="L98" s="2" t="s">
        <v>59</v>
      </c>
      <c r="M98" s="2"/>
    </row>
    <row r="99" spans="1:17" x14ac:dyDescent="0.25">
      <c r="A99" s="1" t="s">
        <v>3</v>
      </c>
      <c r="B99" s="1">
        <v>0.56522672771850713</v>
      </c>
      <c r="C99" s="5">
        <v>129</v>
      </c>
      <c r="D99" s="1">
        <f t="shared" si="12"/>
        <v>3.6000987813830125</v>
      </c>
      <c r="E99" s="1">
        <f t="shared" si="13"/>
        <v>0.64048064217933665</v>
      </c>
      <c r="F99" s="1">
        <f t="shared" si="16"/>
        <v>8.9087080637474794E-2</v>
      </c>
      <c r="G99">
        <f t="shared" si="14"/>
        <v>126</v>
      </c>
      <c r="H99" s="5">
        <f t="shared" si="15"/>
        <v>80.700560914596423</v>
      </c>
      <c r="M99" s="2"/>
    </row>
    <row r="100" spans="1:17" x14ac:dyDescent="0.25">
      <c r="A100" s="1" t="s">
        <v>4</v>
      </c>
      <c r="B100" s="1">
        <v>0.62099266454626478</v>
      </c>
      <c r="C100" s="5">
        <v>227</v>
      </c>
      <c r="D100" s="1">
        <f t="shared" si="12"/>
        <v>4.2769427209256135</v>
      </c>
      <c r="E100" s="1">
        <f t="shared" si="13"/>
        <v>0.72661921840331389</v>
      </c>
      <c r="F100" s="1">
        <f t="shared" si="16"/>
        <v>6.6815310478106099E-2</v>
      </c>
      <c r="G100">
        <f t="shared" si="14"/>
        <v>223.99999999999997</v>
      </c>
      <c r="H100" s="5">
        <f t="shared" si="15"/>
        <v>162.76270492234229</v>
      </c>
      <c r="M100" s="2"/>
    </row>
    <row r="101" spans="1:17" x14ac:dyDescent="0.25">
      <c r="A101" s="1" t="s">
        <v>5</v>
      </c>
      <c r="B101" s="1">
        <v>0.53706800707371205</v>
      </c>
      <c r="C101" s="5">
        <v>67</v>
      </c>
      <c r="D101" s="1">
        <f t="shared" si="12"/>
        <v>3.3202890069394217</v>
      </c>
      <c r="E101" s="1">
        <f t="shared" si="13"/>
        <v>0.60002591471134981</v>
      </c>
      <c r="F101" s="1">
        <f t="shared" si="16"/>
        <v>0.125</v>
      </c>
      <c r="G101">
        <f t="shared" si="14"/>
        <v>64</v>
      </c>
      <c r="H101" s="5">
        <f t="shared" si="15"/>
        <v>38.401658541526388</v>
      </c>
      <c r="M101" s="2"/>
    </row>
    <row r="102" spans="1:17" x14ac:dyDescent="0.25">
      <c r="A102" s="1" t="s">
        <v>6</v>
      </c>
      <c r="B102" s="1">
        <v>0.56480405298453507</v>
      </c>
      <c r="C102" s="5">
        <v>88</v>
      </c>
      <c r="D102" s="1">
        <f t="shared" si="12"/>
        <v>3.5956310340567783</v>
      </c>
      <c r="E102" s="1">
        <f t="shared" si="13"/>
        <v>0.63985975340016688</v>
      </c>
      <c r="F102" s="1">
        <f t="shared" si="16"/>
        <v>0.10846522890932808</v>
      </c>
      <c r="G102">
        <f t="shared" si="14"/>
        <v>85</v>
      </c>
      <c r="H102" s="5">
        <f t="shared" si="15"/>
        <v>54.388079039014187</v>
      </c>
      <c r="M102" s="2"/>
    </row>
    <row r="103" spans="1:17" x14ac:dyDescent="0.25">
      <c r="A103" s="1" t="s">
        <v>7</v>
      </c>
      <c r="B103" s="1">
        <v>0.66376845195680756</v>
      </c>
      <c r="C103" s="5">
        <v>74</v>
      </c>
      <c r="D103" s="1">
        <f t="shared" si="12"/>
        <v>4.9482818065099572</v>
      </c>
      <c r="E103" s="1">
        <f t="shared" si="13"/>
        <v>0.79952020326404061</v>
      </c>
      <c r="F103" s="1">
        <f t="shared" si="16"/>
        <v>0.11867816581938533</v>
      </c>
      <c r="G103">
        <f t="shared" si="14"/>
        <v>71.000000000000014</v>
      </c>
      <c r="H103" s="5">
        <f t="shared" si="15"/>
        <v>56.765934431746892</v>
      </c>
      <c r="M103" s="2"/>
    </row>
    <row r="104" spans="1:17" x14ac:dyDescent="0.25">
      <c r="A104" s="1" t="s">
        <v>8</v>
      </c>
      <c r="B104" s="1">
        <v>0.38553003860697532</v>
      </c>
      <c r="C104" s="5">
        <v>41</v>
      </c>
      <c r="D104" s="1">
        <f t="shared" si="12"/>
        <v>2.2548377067382281</v>
      </c>
      <c r="E104" s="1">
        <f t="shared" si="13"/>
        <v>0.40653899998015719</v>
      </c>
      <c r="F104" s="1">
        <f t="shared" si="16"/>
        <v>0.16222142113076254</v>
      </c>
      <c r="G104">
        <f t="shared" si="14"/>
        <v>38</v>
      </c>
      <c r="H104" s="5">
        <f t="shared" si="15"/>
        <v>15.448481999245974</v>
      </c>
      <c r="M104" s="2"/>
    </row>
    <row r="105" spans="1:17" x14ac:dyDescent="0.25">
      <c r="A105" s="1" t="s">
        <v>9</v>
      </c>
      <c r="B105" s="1">
        <v>0.5233935788981785</v>
      </c>
      <c r="C105" s="5">
        <v>53</v>
      </c>
      <c r="D105" s="1">
        <f t="shared" si="12"/>
        <v>3.1963345675796568</v>
      </c>
      <c r="E105" s="1">
        <f t="shared" si="13"/>
        <v>0.58100235282389656</v>
      </c>
      <c r="F105" s="1">
        <f t="shared" si="16"/>
        <v>0.1414213562373095</v>
      </c>
      <c r="G105">
        <f t="shared" si="14"/>
        <v>50</v>
      </c>
      <c r="H105" s="5">
        <f t="shared" si="15"/>
        <v>29.050117641194827</v>
      </c>
      <c r="M105" s="2"/>
    </row>
    <row r="106" spans="1:17" x14ac:dyDescent="0.25">
      <c r="A106" s="1" t="s">
        <v>10</v>
      </c>
      <c r="B106" s="1">
        <v>0.5459420677582687</v>
      </c>
      <c r="C106" s="5">
        <v>93</v>
      </c>
      <c r="D106" s="1">
        <f t="shared" si="12"/>
        <v>3.4047242829252906</v>
      </c>
      <c r="E106" s="1">
        <f t="shared" si="13"/>
        <v>0.61258198107264772</v>
      </c>
      <c r="F106" s="1">
        <f t="shared" si="16"/>
        <v>0.10540925533894598</v>
      </c>
      <c r="G106">
        <f t="shared" si="14"/>
        <v>90</v>
      </c>
      <c r="H106" s="5">
        <f t="shared" si="15"/>
        <v>55.132378296538292</v>
      </c>
      <c r="M106" s="2"/>
    </row>
    <row r="107" spans="1:17" x14ac:dyDescent="0.25">
      <c r="A107" s="1" t="s">
        <v>11</v>
      </c>
      <c r="B107" s="1">
        <v>0.60134851390001243</v>
      </c>
      <c r="C107" s="5">
        <v>79</v>
      </c>
      <c r="D107" s="1">
        <f t="shared" si="12"/>
        <v>4.0169134437852589</v>
      </c>
      <c r="E107" s="1">
        <f t="shared" si="13"/>
        <v>0.69525690383404326</v>
      </c>
      <c r="F107" s="1">
        <f t="shared" si="16"/>
        <v>0.11470786693528087</v>
      </c>
      <c r="G107">
        <f t="shared" si="14"/>
        <v>76.000000000000014</v>
      </c>
      <c r="H107" s="5">
        <f t="shared" si="15"/>
        <v>52.839524691387297</v>
      </c>
      <c r="M107" s="2"/>
    </row>
    <row r="108" spans="1:17" x14ac:dyDescent="0.25">
      <c r="A108" s="1" t="s">
        <v>12</v>
      </c>
      <c r="B108" s="1">
        <v>0.59941611186781241</v>
      </c>
      <c r="C108" s="5">
        <v>722</v>
      </c>
      <c r="D108" s="1">
        <f t="shared" si="12"/>
        <v>3.9927120367357998</v>
      </c>
      <c r="E108" s="1">
        <f t="shared" si="13"/>
        <v>0.69223535422984517</v>
      </c>
      <c r="F108" s="1">
        <f t="shared" si="16"/>
        <v>3.7293707031410071E-2</v>
      </c>
      <c r="G108">
        <f t="shared" si="14"/>
        <v>719.00000000000011</v>
      </c>
      <c r="H108" s="5">
        <f t="shared" si="15"/>
        <v>497.71721969125878</v>
      </c>
      <c r="M108" s="2"/>
    </row>
    <row r="109" spans="1:17" x14ac:dyDescent="0.25">
      <c r="A109" s="1" t="s">
        <v>13</v>
      </c>
      <c r="B109" s="1">
        <v>0.69747668569129795</v>
      </c>
      <c r="C109" s="5">
        <v>57</v>
      </c>
      <c r="D109" s="1">
        <f t="shared" si="12"/>
        <v>5.6110607196348248</v>
      </c>
      <c r="E109" s="1">
        <f t="shared" si="13"/>
        <v>0.86236988912281409</v>
      </c>
      <c r="F109" s="1">
        <f t="shared" si="16"/>
        <v>0.13608276348795434</v>
      </c>
      <c r="G109">
        <f t="shared" si="14"/>
        <v>54</v>
      </c>
      <c r="H109" s="5">
        <f t="shared" si="15"/>
        <v>46.567974012631964</v>
      </c>
      <c r="M109" s="2"/>
    </row>
    <row r="110" spans="1:17" x14ac:dyDescent="0.25">
      <c r="D110" s="1"/>
      <c r="E110" s="1"/>
      <c r="F110" s="1"/>
      <c r="G110" s="7">
        <f>SUM(G97:G109)</f>
        <v>1855</v>
      </c>
      <c r="M110" s="2"/>
    </row>
    <row r="111" spans="1:17" x14ac:dyDescent="0.25">
      <c r="D111" s="1"/>
      <c r="E111" s="1"/>
      <c r="F111" s="1"/>
      <c r="M111" s="2"/>
    </row>
    <row r="112" spans="1:17" x14ac:dyDescent="0.25">
      <c r="A112" s="1" t="s">
        <v>1</v>
      </c>
      <c r="B112" s="1" t="s">
        <v>46</v>
      </c>
      <c r="C112" s="5" t="s">
        <v>47</v>
      </c>
      <c r="D112" s="1"/>
      <c r="E112" s="5" t="s">
        <v>48</v>
      </c>
      <c r="F112" s="5" t="s">
        <v>49</v>
      </c>
      <c r="G112" t="s">
        <v>50</v>
      </c>
      <c r="M112" s="2"/>
    </row>
    <row r="113" spans="1:17" x14ac:dyDescent="0.25">
      <c r="A113" s="1" t="s">
        <v>0</v>
      </c>
      <c r="B113" s="1">
        <v>0.21685779451662682</v>
      </c>
      <c r="C113" s="5">
        <v>94</v>
      </c>
      <c r="D113" s="1">
        <f t="shared" si="12"/>
        <v>1.5538146022478183</v>
      </c>
      <c r="E113" s="1">
        <f t="shared" si="13"/>
        <v>0.22035647062769295</v>
      </c>
      <c r="F113" s="1">
        <f t="shared" si="16"/>
        <v>0.10482848367219183</v>
      </c>
      <c r="G113">
        <f t="shared" si="14"/>
        <v>91</v>
      </c>
      <c r="H113" s="5">
        <f t="shared" si="15"/>
        <v>20.05243882712006</v>
      </c>
      <c r="J113" s="4">
        <f>SUM(H113:H125)/G126</f>
        <v>0.40889476106068001</v>
      </c>
      <c r="K113" s="4">
        <f>1/SQRT(G126)</f>
        <v>2.3453251491009731E-2</v>
      </c>
      <c r="L113" s="2">
        <f t="shared" si="17"/>
        <v>0.38753383129871916</v>
      </c>
      <c r="M113" s="2">
        <f t="shared" si="18"/>
        <v>2.3448952244143482E-2</v>
      </c>
      <c r="N113" s="1">
        <f t="shared" si="19"/>
        <v>0.45486313398305911</v>
      </c>
      <c r="O113" s="1">
        <f t="shared" si="20"/>
        <v>0.36292638813830091</v>
      </c>
      <c r="P113" s="2">
        <f t="shared" si="21"/>
        <v>0.42588829089139491</v>
      </c>
      <c r="Q113" s="2">
        <f t="shared" si="22"/>
        <v>0.34778906788455954</v>
      </c>
    </row>
    <row r="114" spans="1:17" x14ac:dyDescent="0.25">
      <c r="A114" s="1" t="s">
        <v>2</v>
      </c>
      <c r="B114" s="1">
        <v>0.33671000347199476</v>
      </c>
      <c r="C114" s="5">
        <v>158</v>
      </c>
      <c r="D114" s="1">
        <f t="shared" si="12"/>
        <v>2.015272370258876</v>
      </c>
      <c r="E114" s="1">
        <f t="shared" si="13"/>
        <v>0.35037717880408931</v>
      </c>
      <c r="F114" s="1">
        <f t="shared" si="16"/>
        <v>8.0321932890249886E-2</v>
      </c>
      <c r="G114">
        <f t="shared" si="14"/>
        <v>155</v>
      </c>
      <c r="H114" s="5">
        <f t="shared" si="15"/>
        <v>54.308462714633841</v>
      </c>
      <c r="L114" s="2" t="s">
        <v>60</v>
      </c>
    </row>
    <row r="115" spans="1:17" x14ac:dyDescent="0.25">
      <c r="A115" s="1" t="s">
        <v>3</v>
      </c>
      <c r="B115" s="1">
        <v>0.41540430230286057</v>
      </c>
      <c r="C115" s="5">
        <v>122</v>
      </c>
      <c r="D115" s="1">
        <f t="shared" si="12"/>
        <v>2.4211678393776634</v>
      </c>
      <c r="E115" s="1">
        <f t="shared" si="13"/>
        <v>0.44212500101019464</v>
      </c>
      <c r="F115" s="1">
        <f t="shared" si="16"/>
        <v>9.1669849702821132E-2</v>
      </c>
      <c r="G115">
        <f t="shared" si="14"/>
        <v>118.99999999999999</v>
      </c>
      <c r="H115" s="5">
        <f t="shared" si="15"/>
        <v>52.612875120213154</v>
      </c>
    </row>
    <row r="116" spans="1:17" x14ac:dyDescent="0.25">
      <c r="A116" s="1" t="s">
        <v>4</v>
      </c>
      <c r="B116" s="1">
        <v>0.48670617481775108</v>
      </c>
      <c r="C116" s="5">
        <v>222</v>
      </c>
      <c r="D116" s="1">
        <f t="shared" si="12"/>
        <v>2.8964037786542325</v>
      </c>
      <c r="E116" s="1">
        <f t="shared" si="13"/>
        <v>0.53173494556770196</v>
      </c>
      <c r="F116" s="1">
        <f t="shared" si="16"/>
        <v>6.7573737839948592E-2</v>
      </c>
      <c r="G116">
        <f t="shared" si="14"/>
        <v>219</v>
      </c>
      <c r="H116" s="5">
        <f t="shared" si="15"/>
        <v>116.44995307932673</v>
      </c>
    </row>
    <row r="117" spans="1:17" x14ac:dyDescent="0.25">
      <c r="A117" s="1" t="s">
        <v>5</v>
      </c>
      <c r="B117" s="1">
        <v>0.36623934316439366</v>
      </c>
      <c r="C117" s="5">
        <v>66</v>
      </c>
      <c r="D117" s="1">
        <f t="shared" si="12"/>
        <v>2.1557654745974357</v>
      </c>
      <c r="E117" s="1">
        <f t="shared" si="13"/>
        <v>0.38407293455698077</v>
      </c>
      <c r="F117" s="1">
        <f t="shared" si="16"/>
        <v>0.12598815766974239</v>
      </c>
      <c r="G117">
        <f t="shared" si="14"/>
        <v>63.000000000000014</v>
      </c>
      <c r="H117" s="5">
        <f t="shared" si="15"/>
        <v>24.196594877089794</v>
      </c>
    </row>
    <row r="118" spans="1:17" x14ac:dyDescent="0.25">
      <c r="A118" s="1" t="s">
        <v>6</v>
      </c>
      <c r="B118" s="1">
        <v>0.45921810665678187</v>
      </c>
      <c r="C118" s="5">
        <v>88</v>
      </c>
      <c r="D118" s="1">
        <f t="shared" si="12"/>
        <v>2.6983486773856531</v>
      </c>
      <c r="E118" s="1">
        <f t="shared" si="13"/>
        <v>0.49631999246892095</v>
      </c>
      <c r="F118" s="1">
        <f t="shared" si="16"/>
        <v>0.10846522890932808</v>
      </c>
      <c r="G118">
        <f t="shared" si="14"/>
        <v>85</v>
      </c>
      <c r="H118" s="5">
        <f t="shared" si="15"/>
        <v>42.187199359858283</v>
      </c>
    </row>
    <row r="119" spans="1:17" x14ac:dyDescent="0.25">
      <c r="A119" s="1" t="s">
        <v>7</v>
      </c>
      <c r="B119" s="1">
        <v>0.43717456714448971</v>
      </c>
      <c r="C119" s="5">
        <v>74</v>
      </c>
      <c r="D119" s="1">
        <f t="shared" si="12"/>
        <v>2.5534996879102376</v>
      </c>
      <c r="E119" s="1">
        <f t="shared" si="13"/>
        <v>0.46873242244258273</v>
      </c>
      <c r="F119" s="1">
        <f t="shared" si="16"/>
        <v>0.11867816581938533</v>
      </c>
      <c r="G119">
        <f t="shared" si="14"/>
        <v>71.000000000000014</v>
      </c>
      <c r="H119" s="5">
        <f t="shared" si="15"/>
        <v>33.280001993423383</v>
      </c>
    </row>
    <row r="120" spans="1:17" x14ac:dyDescent="0.25">
      <c r="A120" s="1" t="s">
        <v>8</v>
      </c>
      <c r="B120" s="1">
        <v>0.21985997101209562</v>
      </c>
      <c r="C120" s="5">
        <v>37</v>
      </c>
      <c r="D120" s="1">
        <f t="shared" si="12"/>
        <v>1.5636423278967639</v>
      </c>
      <c r="E120" s="1">
        <f t="shared" si="13"/>
        <v>0.22350896268317189</v>
      </c>
      <c r="F120" s="1">
        <f t="shared" si="16"/>
        <v>0.17149858514250882</v>
      </c>
      <c r="G120">
        <f t="shared" si="14"/>
        <v>34.000000000000007</v>
      </c>
      <c r="H120" s="5">
        <f t="shared" si="15"/>
        <v>7.5993047312278454</v>
      </c>
    </row>
    <row r="121" spans="1:17" x14ac:dyDescent="0.25">
      <c r="A121" s="1" t="s">
        <v>9</v>
      </c>
      <c r="B121" s="1">
        <v>0.45482543065726461</v>
      </c>
      <c r="C121" s="5">
        <v>53</v>
      </c>
      <c r="D121" s="1">
        <f t="shared" si="12"/>
        <v>2.668549694845832</v>
      </c>
      <c r="E121" s="1">
        <f t="shared" si="13"/>
        <v>0.49076756969124885</v>
      </c>
      <c r="F121" s="1">
        <f t="shared" si="16"/>
        <v>0.1414213562373095</v>
      </c>
      <c r="G121">
        <f t="shared" si="14"/>
        <v>50</v>
      </c>
      <c r="H121" s="5">
        <f t="shared" si="15"/>
        <v>24.538378484562443</v>
      </c>
    </row>
    <row r="122" spans="1:17" x14ac:dyDescent="0.25">
      <c r="A122" s="1" t="s">
        <v>10</v>
      </c>
      <c r="B122" s="1">
        <v>0.31551263339776026</v>
      </c>
      <c r="C122" s="5">
        <v>94</v>
      </c>
      <c r="D122" s="1">
        <f t="shared" si="12"/>
        <v>1.9218946873013854</v>
      </c>
      <c r="E122" s="1">
        <f t="shared" si="13"/>
        <v>0.32665575787968654</v>
      </c>
      <c r="F122" s="1">
        <f t="shared" si="16"/>
        <v>0.10482848367219183</v>
      </c>
      <c r="G122">
        <f t="shared" si="14"/>
        <v>91</v>
      </c>
      <c r="H122" s="5">
        <f t="shared" si="15"/>
        <v>29.725673967051474</v>
      </c>
    </row>
    <row r="123" spans="1:17" x14ac:dyDescent="0.25">
      <c r="A123" s="1" t="s">
        <v>11</v>
      </c>
      <c r="B123" s="1">
        <v>0.3751583407065659</v>
      </c>
      <c r="C123" s="5">
        <v>77</v>
      </c>
      <c r="D123" s="1">
        <f t="shared" si="12"/>
        <v>2.2008109098576814</v>
      </c>
      <c r="E123" s="1">
        <f t="shared" si="13"/>
        <v>0.39441294391976639</v>
      </c>
      <c r="F123" s="1">
        <f t="shared" si="16"/>
        <v>0.11624763874381928</v>
      </c>
      <c r="G123">
        <f t="shared" si="14"/>
        <v>74</v>
      </c>
      <c r="H123" s="5">
        <f t="shared" si="15"/>
        <v>29.186557850062712</v>
      </c>
    </row>
    <row r="124" spans="1:17" x14ac:dyDescent="0.25">
      <c r="A124" s="1" t="s">
        <v>12</v>
      </c>
      <c r="B124" s="1">
        <v>0.38022954477201504</v>
      </c>
      <c r="C124" s="5">
        <v>717</v>
      </c>
      <c r="D124" s="1">
        <f t="shared" si="12"/>
        <v>2.2270011955705313</v>
      </c>
      <c r="E124" s="1">
        <f t="shared" si="13"/>
        <v>0.40032796256379632</v>
      </c>
      <c r="F124" s="1">
        <f t="shared" si="16"/>
        <v>3.7424059428255989E-2</v>
      </c>
      <c r="G124">
        <f t="shared" si="14"/>
        <v>714</v>
      </c>
      <c r="H124" s="5">
        <f t="shared" si="15"/>
        <v>285.83416527055056</v>
      </c>
    </row>
    <row r="125" spans="1:17" x14ac:dyDescent="0.25">
      <c r="A125" s="1" t="s">
        <v>13</v>
      </c>
      <c r="B125" s="1">
        <v>0.42188429342243999</v>
      </c>
      <c r="C125" s="5">
        <v>55</v>
      </c>
      <c r="D125" s="1">
        <f t="shared" si="12"/>
        <v>2.4595150715416172</v>
      </c>
      <c r="E125" s="1">
        <f t="shared" si="13"/>
        <v>0.44998210256146082</v>
      </c>
      <c r="F125" s="1">
        <f t="shared" si="16"/>
        <v>0.13867504905630729</v>
      </c>
      <c r="G125">
        <f t="shared" si="14"/>
        <v>52</v>
      </c>
      <c r="H125" s="5">
        <f t="shared" si="15"/>
        <v>23.399069333195964</v>
      </c>
    </row>
    <row r="126" spans="1:17" x14ac:dyDescent="0.25">
      <c r="G126" s="7">
        <f>SUM(G113:G125)</f>
        <v>1818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Watkins, Christopher</cp:lastModifiedBy>
  <dcterms:created xsi:type="dcterms:W3CDTF">2018-03-14T14:55:51Z</dcterms:created>
  <dcterms:modified xsi:type="dcterms:W3CDTF">2019-02-04T18:14:40Z</dcterms:modified>
</cp:coreProperties>
</file>